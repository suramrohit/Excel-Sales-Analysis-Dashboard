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ROHIT\Desktop\"/>
    </mc:Choice>
  </mc:AlternateContent>
  <xr:revisionPtr revIDLastSave="0" documentId="13_ncr:1_{288DC287-A91D-4EC7-A8FD-DA71AB9A5180}" xr6:coauthVersionLast="47" xr6:coauthVersionMax="47" xr10:uidLastSave="{00000000-0000-0000-0000-000000000000}"/>
  <bookViews>
    <workbookView xWindow="-120" yWindow="-120" windowWidth="20730" windowHeight="11040" activeTab="3" xr2:uid="{0BC518F4-8E13-4F92-BD75-07EBEC6D3DD9}"/>
  </bookViews>
  <sheets>
    <sheet name="Sheet1" sheetId="1" r:id="rId1"/>
    <sheet name="salesdata" sheetId="2" r:id="rId2"/>
    <sheet name="Sheet2" sheetId="4" r:id="rId3"/>
    <sheet name="Dashboard" sheetId="3" r:id="rId4"/>
  </sheets>
  <definedNames>
    <definedName name="Slicer_category">#N/A</definedName>
    <definedName name="Slicer_customers_name">#N/A</definedName>
    <definedName name="Slicer_product_name">#N/A</definedName>
  </definedNames>
  <calcPr calcId="191029"/>
  <pivotCaches>
    <pivotCache cacheId="21" r:id="rId5"/>
    <pivotCache cacheId="20" r:id="rId6"/>
    <pivotCache cacheId="3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5" i="4" l="1"/>
  <c r="H25" i="4"/>
  <c r="G25" i="4"/>
  <c r="N8" i="4"/>
  <c r="L8" i="4"/>
  <c r="J8" i="4"/>
  <c r="A2" i="3"/>
  <c r="A2" i="2"/>
  <c r="O26" i="1" s="1"/>
  <c r="E5" i="2"/>
  <c r="C5" i="2"/>
  <c r="A5" i="2"/>
  <c r="O15" i="1" l="1"/>
  <c r="O8" i="1"/>
  <c r="O12" i="1"/>
  <c r="O16" i="1"/>
  <c r="O20" i="1"/>
  <c r="O24" i="1"/>
  <c r="O11" i="1"/>
  <c r="O23" i="1"/>
  <c r="O9" i="1"/>
  <c r="O13" i="1"/>
  <c r="O17" i="1"/>
  <c r="O21" i="1"/>
  <c r="O25" i="1"/>
  <c r="O7" i="1"/>
  <c r="O19" i="1"/>
  <c r="O10" i="1"/>
  <c r="O14" i="1"/>
  <c r="O18" i="1"/>
  <c r="O22" i="1"/>
  <c r="D5" i="3"/>
  <c r="G5" i="3"/>
  <c r="A5" i="3"/>
  <c r="J5" i="3" l="1"/>
</calcChain>
</file>

<file path=xl/sharedStrings.xml><?xml version="1.0" encoding="utf-8"?>
<sst xmlns="http://schemas.openxmlformats.org/spreadsheetml/2006/main" count="272" uniqueCount="86">
  <si>
    <t>order_id</t>
  </si>
  <si>
    <t>order_date</t>
  </si>
  <si>
    <t>customer_id</t>
  </si>
  <si>
    <t>customers_name</t>
  </si>
  <si>
    <t>product_name</t>
  </si>
  <si>
    <t>category</t>
  </si>
  <si>
    <t>price</t>
  </si>
  <si>
    <t>quantity</t>
  </si>
  <si>
    <t>sales</t>
  </si>
  <si>
    <t>Rohit</t>
  </si>
  <si>
    <t>Laptop</t>
  </si>
  <si>
    <t>Electronics</t>
  </si>
  <si>
    <t>Ravi</t>
  </si>
  <si>
    <t>Mouse</t>
  </si>
  <si>
    <t>Ajay</t>
  </si>
  <si>
    <t>Keyboard</t>
  </si>
  <si>
    <t>Kiran</t>
  </si>
  <si>
    <t>Monitor</t>
  </si>
  <si>
    <t>Suresh</t>
  </si>
  <si>
    <t>Headphones</t>
  </si>
  <si>
    <t>Vijay</t>
  </si>
  <si>
    <t>Smartphone</t>
  </si>
  <si>
    <t>Arjun</t>
  </si>
  <si>
    <t>Tablet</t>
  </si>
  <si>
    <t>Nikhil</t>
  </si>
  <si>
    <t>Printer</t>
  </si>
  <si>
    <t>Mahesh</t>
  </si>
  <si>
    <t>Webcam</t>
  </si>
  <si>
    <t>Ramesh</t>
  </si>
  <si>
    <t>Speaker</t>
  </si>
  <si>
    <t>Anil</t>
  </si>
  <si>
    <t>Office Chair</t>
  </si>
  <si>
    <t>Furniture</t>
  </si>
  <si>
    <t>Prakash</t>
  </si>
  <si>
    <t>Study Table</t>
  </si>
  <si>
    <t>Vinay</t>
  </si>
  <si>
    <t>Bookshelf</t>
  </si>
  <si>
    <t>Deepak</t>
  </si>
  <si>
    <t>Pen Drive</t>
  </si>
  <si>
    <t>Accessories</t>
  </si>
  <si>
    <t>Naresh</t>
  </si>
  <si>
    <t>External HDD</t>
  </si>
  <si>
    <t>Santosh</t>
  </si>
  <si>
    <t>Backpack</t>
  </si>
  <si>
    <t>Harish</t>
  </si>
  <si>
    <t>Water Bottle</t>
  </si>
  <si>
    <t>Lokesh</t>
  </si>
  <si>
    <t>Notebook</t>
  </si>
  <si>
    <t>Stationery</t>
  </si>
  <si>
    <t>Ganesh</t>
  </si>
  <si>
    <t>Calculator</t>
  </si>
  <si>
    <t>Manoj</t>
  </si>
  <si>
    <t>Desk Lamp</t>
  </si>
  <si>
    <t>Row Labels</t>
  </si>
  <si>
    <t>Grand Total</t>
  </si>
  <si>
    <t>Sum of sales</t>
  </si>
  <si>
    <t>Jun</t>
  </si>
  <si>
    <t>Jul</t>
  </si>
  <si>
    <t>2026</t>
  </si>
  <si>
    <t>Sum of quantity</t>
  </si>
  <si>
    <t>SALES ANALYSIS DASHBOARD</t>
  </si>
  <si>
    <t>Total Sales</t>
  </si>
  <si>
    <t>Total Orders</t>
  </si>
  <si>
    <t>Total Quantity</t>
  </si>
  <si>
    <t>Total Customers</t>
  </si>
  <si>
    <t>Revenue generated</t>
  </si>
  <si>
    <t>Orders captured</t>
  </si>
  <si>
    <t>Units sold</t>
  </si>
  <si>
    <t>Unique customers</t>
  </si>
  <si>
    <t xml:space="preserve"> </t>
  </si>
  <si>
    <t>sales by category</t>
  </si>
  <si>
    <t>monthly trend sales</t>
  </si>
  <si>
    <t>sales by product</t>
  </si>
  <si>
    <t>quantity sold by category</t>
  </si>
  <si>
    <t>top 5 customers by sales</t>
  </si>
  <si>
    <t>top 5 products by sales</t>
  </si>
  <si>
    <t>(All)</t>
  </si>
  <si>
    <t>product search filter</t>
  </si>
  <si>
    <t>customer search filter</t>
  </si>
  <si>
    <t>Sum of Total Sales</t>
  </si>
  <si>
    <t>Sum of Total Quantity</t>
  </si>
  <si>
    <t>Sum of Total Customers</t>
  </si>
  <si>
    <t>Sum of Total Orders</t>
  </si>
  <si>
    <t>Count of order_id</t>
  </si>
  <si>
    <t>KPI Helper - Customer</t>
  </si>
  <si>
    <t>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</si>
</sst>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860]\ * #,##0_ ;_ [$₹-860]\ * \-#,##0_ ;_ [$₹-860]\ * &quot;-&quot;_ ;_ @_ "/>
    <numFmt numFmtId="165" formatCode="_ [$₹-44E]* #,##0_ ;_ [$₹-44E]* \-#,##0_ ;_ [$₹-44E]* &quot;-&quot;_ ;_ @_ "/>
    <numFmt numFmtId="166" formatCode="_ [$₹-439]* #,##0_ ;_ [$₹-439]* \-#,##0_ ;_ [$₹-439]* &quot;-&quot;_ ;_ @_ "/>
    <numFmt numFmtId="167" formatCode="_ [$₹-447]* #,##0_ ;_ [$₹-447]* \-#,##0_ ;_ [$₹-447]* &quot;-&quot;_ ;_ @_ "/>
    <numFmt numFmtId="168" formatCode="_-[$₹-460]\ * #,##0_-;\-[$₹-460]\ * #,##0_-;_-[$₹-460]\ * &quot;-&quot;_-;_-@_-"/>
    <numFmt numFmtId="169" formatCode="_ [$₹-446]\ * #,##0_ ;_ [$₹-446]\ * \-#,##0_ ;_ [$₹-446]\ * &quot;-&quot;_ ;_ @_ "/>
    <numFmt numFmtId="170" formatCode="[$₹-4009]\ #,##0;[Red][$₹-4009]\ #,##0"/>
  </numFmts>
  <fonts count="17" x14ac:knownFonts="1">
    <font>
      <sz val="11"/>
      <color theme="1"/>
      <name val="Calibri"/>
      <family val="2"/>
      <scheme val="minor"/>
    </font>
    <font>
      <b/>
      <sz val="20"/>
      <color theme="1"/>
      <name val="Arial"/>
      <family val="2"/>
    </font>
    <font>
      <sz val="11"/>
      <color theme="1"/>
      <name val="Arial"/>
      <family val="2"/>
    </font>
    <font>
      <sz val="8"/>
      <color theme="1"/>
      <name val="Arial"/>
      <family val="2"/>
    </font>
    <font>
      <sz val="12"/>
      <color theme="1"/>
      <name val="Arial"/>
      <family val="2"/>
    </font>
    <font>
      <b/>
      <sz val="18"/>
      <color theme="1"/>
      <name val="Arial"/>
      <family val="2"/>
    </font>
    <font>
      <b/>
      <sz val="20"/>
      <color theme="0"/>
      <name val="Arial"/>
      <family val="2"/>
    </font>
    <font>
      <b/>
      <sz val="12"/>
      <color theme="3"/>
      <name val="Arial"/>
      <family val="2"/>
    </font>
    <font>
      <b/>
      <sz val="18"/>
      <color theme="3"/>
      <name val="Arial"/>
      <family val="2"/>
    </font>
    <font>
      <b/>
      <sz val="18"/>
      <color theme="3" tint="-0.499984740745262"/>
      <name val="Arial"/>
      <family val="2"/>
    </font>
    <font>
      <sz val="11"/>
      <color theme="3" tint="-0.499984740745262"/>
      <name val="Calibri"/>
      <family val="2"/>
      <scheme val="minor"/>
    </font>
    <font>
      <sz val="11"/>
      <color theme="3" tint="-0.249977111117893"/>
      <name val="Calibri"/>
      <family val="2"/>
      <scheme val="minor"/>
    </font>
    <font>
      <sz val="10"/>
      <color theme="3" tint="-0.249977111117893"/>
      <name val="Arial"/>
      <family val="2"/>
    </font>
    <font>
      <sz val="10"/>
      <color theme="0"/>
      <name val="Arial"/>
      <family val="2"/>
    </font>
    <font>
      <b/>
      <sz val="22"/>
      <color theme="3" tint="-0.499984740745262"/>
      <name val="Arial"/>
      <family val="2"/>
    </font>
    <font>
      <sz val="22"/>
      <color theme="3" tint="-0.499984740745262"/>
      <name val="Arial"/>
      <family val="2"/>
    </font>
    <font>
      <sz val="11"/>
      <color theme="1"/>
      <name val="Arial"/>
    </font>
  </fonts>
  <fills count="6">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theme="2"/>
      </left>
      <right/>
      <top/>
      <bottom/>
      <diagonal/>
    </border>
    <border>
      <left/>
      <right/>
      <top/>
      <bottom style="medium">
        <color theme="2" tint="-9.9978637043366805E-2"/>
      </bottom>
      <diagonal/>
    </border>
    <border>
      <left/>
      <right style="medium">
        <color theme="2" tint="-9.9978637043366805E-2"/>
      </right>
      <top style="medium">
        <color theme="2" tint="-9.9978637043366805E-2"/>
      </top>
      <bottom/>
      <diagonal/>
    </border>
    <border>
      <left/>
      <right style="medium">
        <color theme="2" tint="-9.9978637043366805E-2"/>
      </right>
      <top/>
      <bottom/>
      <diagonal/>
    </border>
    <border>
      <left style="medium">
        <color theme="2"/>
      </left>
      <right/>
      <top/>
      <bottom style="medium">
        <color theme="2" tint="-9.9978637043366805E-2"/>
      </bottom>
      <diagonal/>
    </border>
    <border>
      <left/>
      <right style="medium">
        <color theme="2" tint="-9.9978637043366805E-2"/>
      </right>
      <top/>
      <bottom style="medium">
        <color theme="2" tint="-9.9978637043366805E-2"/>
      </bottom>
      <diagonal/>
    </border>
    <border>
      <left style="medium">
        <color theme="2" tint="-9.9978637043366805E-2"/>
      </left>
      <right/>
      <top/>
      <bottom/>
      <diagonal/>
    </border>
  </borders>
  <cellStyleXfs count="1">
    <xf numFmtId="0" fontId="0" fillId="0" borderId="0"/>
  </cellStyleXfs>
  <cellXfs count="59">
    <xf numFmtId="0" fontId="0" fillId="0" borderId="0" xfId="0"/>
    <xf numFmtId="14"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4" fillId="0" borderId="1" xfId="0" applyFont="1" applyBorder="1"/>
    <xf numFmtId="0" fontId="4" fillId="0" borderId="2" xfId="0" applyFont="1" applyBorder="1"/>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4" xfId="0" applyFont="1" applyBorder="1"/>
    <xf numFmtId="0" fontId="2" fillId="0" borderId="5" xfId="0" applyFont="1" applyBorder="1"/>
    <xf numFmtId="0" fontId="2" fillId="0" borderId="6" xfId="0" applyFont="1" applyBorder="1"/>
    <xf numFmtId="0" fontId="5" fillId="0" borderId="7" xfId="0" applyFont="1" applyBorder="1" applyAlignment="1">
      <alignment horizontal="left" vertical="center"/>
    </xf>
    <xf numFmtId="0" fontId="5" fillId="0" borderId="2" xfId="0" applyFont="1" applyBorder="1" applyAlignment="1">
      <alignment horizontal="left" vertical="center"/>
    </xf>
    <xf numFmtId="0" fontId="4" fillId="0" borderId="8" xfId="0" applyFont="1" applyBorder="1"/>
    <xf numFmtId="0" fontId="2" fillId="0" borderId="9" xfId="0" applyFont="1" applyBorder="1"/>
    <xf numFmtId="0" fontId="0" fillId="2" borderId="0" xfId="0" applyFill="1"/>
    <xf numFmtId="0" fontId="6" fillId="2" borderId="0" xfId="0" applyFont="1" applyFill="1"/>
    <xf numFmtId="0" fontId="0" fillId="5" borderId="0" xfId="0" applyFill="1"/>
    <xf numFmtId="0" fontId="9" fillId="5" borderId="0" xfId="0" applyFont="1" applyFill="1" applyAlignment="1">
      <alignment horizontal="left" vertical="center"/>
    </xf>
    <xf numFmtId="0" fontId="13" fillId="2" borderId="0" xfId="0" applyFont="1" applyFill="1"/>
    <xf numFmtId="0" fontId="0" fillId="5" borderId="11" xfId="0" applyFill="1" applyBorder="1"/>
    <xf numFmtId="0" fontId="12" fillId="5" borderId="11" xfId="0" applyFont="1" applyFill="1" applyBorder="1"/>
    <xf numFmtId="0" fontId="8" fillId="3" borderId="12" xfId="0" applyFont="1" applyFill="1" applyBorder="1" applyAlignment="1">
      <alignment horizontal="left" vertical="center"/>
    </xf>
    <xf numFmtId="0" fontId="12" fillId="5" borderId="15" xfId="0" applyFont="1" applyFill="1" applyBorder="1"/>
    <xf numFmtId="0" fontId="9" fillId="5" borderId="13" xfId="0" applyFont="1" applyFill="1" applyBorder="1" applyAlignment="1">
      <alignment horizontal="left" vertical="center"/>
    </xf>
    <xf numFmtId="170" fontId="14" fillId="5" borderId="0" xfId="0" applyNumberFormat="1" applyFont="1" applyFill="1" applyAlignment="1">
      <alignment horizontal="left" vertical="center"/>
    </xf>
    <xf numFmtId="0" fontId="14" fillId="5" borderId="0" xfId="0" applyFont="1" applyFill="1" applyAlignment="1">
      <alignment horizontal="left" vertical="center"/>
    </xf>
    <xf numFmtId="0" fontId="14" fillId="5" borderId="13" xfId="0" applyFont="1" applyFill="1" applyBorder="1" applyAlignment="1">
      <alignment horizontal="left" vertical="center"/>
    </xf>
    <xf numFmtId="170" fontId="14" fillId="5" borderId="10" xfId="0" applyNumberFormat="1" applyFont="1" applyFill="1" applyBorder="1" applyAlignment="1">
      <alignment horizontal="center" vertical="center"/>
    </xf>
    <xf numFmtId="0" fontId="14" fillId="5" borderId="0" xfId="0" applyFont="1" applyFill="1" applyAlignment="1">
      <alignment horizontal="center" vertical="center"/>
    </xf>
    <xf numFmtId="0" fontId="7" fillId="3" borderId="10" xfId="0" applyFont="1" applyFill="1" applyBorder="1" applyAlignment="1">
      <alignment horizontal="center" vertical="center"/>
    </xf>
    <xf numFmtId="0" fontId="7" fillId="3" borderId="0" xfId="0" applyFont="1" applyFill="1" applyAlignment="1">
      <alignment horizontal="center" vertical="center"/>
    </xf>
    <xf numFmtId="0" fontId="7" fillId="4" borderId="0" xfId="0" applyFont="1" applyFill="1" applyAlignment="1">
      <alignment horizontal="center" vertical="center"/>
    </xf>
    <xf numFmtId="0" fontId="7" fillId="3" borderId="0" xfId="0" applyFont="1" applyFill="1" applyAlignment="1">
      <alignment horizontal="left" vertical="center"/>
    </xf>
    <xf numFmtId="0" fontId="7" fillId="4" borderId="0" xfId="0" applyFont="1" applyFill="1" applyAlignment="1">
      <alignment horizontal="left" vertical="center"/>
    </xf>
    <xf numFmtId="0" fontId="7" fillId="4" borderId="12" xfId="0" applyFont="1" applyFill="1" applyBorder="1" applyAlignment="1">
      <alignment horizontal="left" vertical="center"/>
    </xf>
    <xf numFmtId="0" fontId="15" fillId="5" borderId="13" xfId="0" applyFont="1" applyFill="1" applyBorder="1" applyAlignment="1">
      <alignment horizontal="left" vertical="center"/>
    </xf>
    <xf numFmtId="0" fontId="12" fillId="5" borderId="16" xfId="0" applyFont="1" applyFill="1" applyBorder="1"/>
    <xf numFmtId="0" fontId="10" fillId="5" borderId="0" xfId="0" applyFont="1" applyFill="1" applyAlignment="1">
      <alignment horizontal="left" vertical="center"/>
    </xf>
    <xf numFmtId="0" fontId="11" fillId="5" borderId="0" xfId="0" applyFont="1" applyFill="1"/>
    <xf numFmtId="0" fontId="12" fillId="5" borderId="0" xfId="0" applyFont="1" applyFill="1"/>
    <xf numFmtId="0" fontId="0" fillId="0" borderId="0" xfId="0" pivotButton="1"/>
    <xf numFmtId="0" fontId="16" fillId="0" borderId="0" xfId="0" pivotButton="1" applyFont="1"/>
    <xf numFmtId="166" fontId="16" fillId="0" borderId="0" xfId="0" applyNumberFormat="1" applyFont="1"/>
    <xf numFmtId="0" fontId="16" fillId="0" borderId="0" xfId="0" applyFont="1" applyAlignment="1">
      <alignment horizontal="left"/>
    </xf>
    <xf numFmtId="164" fontId="16" fillId="0" borderId="0" xfId="0" applyNumberFormat="1" applyFont="1"/>
    <xf numFmtId="165" fontId="16" fillId="0" borderId="0" xfId="0" applyNumberFormat="1" applyFont="1"/>
    <xf numFmtId="0" fontId="16" fillId="0" borderId="0" xfId="0" applyFont="1" applyAlignment="1">
      <alignment horizontal="left" indent="1"/>
    </xf>
    <xf numFmtId="167" fontId="16" fillId="0" borderId="0" xfId="0" applyNumberFormat="1" applyFont="1"/>
    <xf numFmtId="168" fontId="16" fillId="0" borderId="0" xfId="0" applyNumberFormat="1" applyFont="1"/>
    <xf numFmtId="169" fontId="16" fillId="0" borderId="0" xfId="0" applyNumberFormat="1" applyFont="1"/>
    <xf numFmtId="0" fontId="12" fillId="5" borderId="11" xfId="0" applyFont="1" applyFill="1" applyBorder="1" applyAlignment="1">
      <alignment horizontal="center" vertical="center"/>
    </xf>
    <xf numFmtId="0" fontId="12" fillId="5" borderId="14" xfId="0" applyFont="1" applyFill="1" applyBorder="1" applyAlignment="1">
      <alignment horizontal="center" vertical="center"/>
    </xf>
    <xf numFmtId="0" fontId="0" fillId="0" borderId="0" xfId="0" applyNumberFormat="1"/>
    <xf numFmtId="0" fontId="7" fillId="3" borderId="0" xfId="0" applyFont="1" applyFill="1" applyBorder="1" applyAlignment="1">
      <alignment horizontal="center" vertical="center"/>
    </xf>
    <xf numFmtId="170" fontId="14" fillId="5" borderId="0" xfId="0" applyNumberFormat="1" applyFont="1" applyFill="1" applyBorder="1" applyAlignment="1">
      <alignment horizontal="center" vertical="center"/>
    </xf>
    <xf numFmtId="0" fontId="12" fillId="5" borderId="0" xfId="0" applyFont="1" applyFill="1" applyBorder="1" applyAlignment="1">
      <alignment horizontal="center" vertical="center"/>
    </xf>
  </cellXfs>
  <cellStyles count="1">
    <cellStyle name="Normal" xfId="0" builtinId="0"/>
  </cellStyles>
  <dxfs count="1151">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9" formatCode="_ [$₹-446]\ * #,##0_ ;_ [$₹-446]\ * \-#,##0_ ;_ [$₹-446]\ * &quot;-&quot;_ ;_ @_ "/>
    </dxf>
    <dxf>
      <numFmt numFmtId="169" formatCode="_ [$₹-446]\ * #,##0_ ;_ [$₹-446]\ * \-#,##0_ ;_ [$₹-446]\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8" formatCode="_-[$₹-460]\ * #,##0_-;\-[$₹-460]\ * #,##0_-;_-[$₹-460]\ * &quot;-&quot;_-;_-@_-"/>
    </dxf>
    <dxf>
      <numFmt numFmtId="168" formatCode="_-[$₹-460]\ * #,##0_-;\-[$₹-460]\ * #,##0_-;_-[$₹-460]\ * &quot;-&quot;_-;_-@_-"/>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71" formatCode="_-[$₹-458]\ * #,##0_-;\-[$₹-458]\ * #,##0_-;_-[$₹-458]\ * &quot;-&quot;_-;_-@_-"/>
    </dxf>
    <dxf>
      <numFmt numFmtId="167" formatCode="_ [$₹-447]* #,##0_ ;_ [$₹-447]* \-#,##0_ ;_ [$₹-447]* &quot;-&quot;_ ;_ @_ "/>
    </dxf>
    <dxf>
      <numFmt numFmtId="167" formatCode="_ [$₹-447]* #,##0_ ;_ [$₹-447]* \-#,##0_ ;_ [$₹-447]*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5" formatCode="_ [$₹-44E]* #,##0_ ;_ [$₹-44E]* \-#,##0_ ;_ [$₹-44E]* &quot;-&quot;_ ;_ @_ "/>
    </dxf>
    <dxf>
      <numFmt numFmtId="165" formatCode="_ [$₹-44E]* #,##0_ ;_ [$₹-44E]* \-#,##0_ ;_ [$₹-44E]*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860]\ * #,##0_ ;_ [$₹-860]\ * \-#,##0_ ;_ [$₹-860]\ * &quot;-&quot;_ ;_ @_ "/>
    </dxf>
    <dxf>
      <numFmt numFmtId="164" formatCode="_ [$₹-860]\ * #,##0_ ;_ [$₹-860]\ * \-#,##0_ ;_ [$₹-860]\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6" formatCode="_ [$₹-439]* #,##0_ ;_ [$₹-439]* \-#,##0_ ;_ [$₹-439]* &quot;-&quot;_ ;_ @_ "/>
    </dxf>
    <dxf>
      <numFmt numFmtId="166" formatCode="_ [$₹-439]* #,##0_ ;_ [$₹-439]* \-#,##0_ ;_ [$₹-439]*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outline="0">
        <left style="medium">
          <color theme="2"/>
        </left>
        <bottom style="medium">
          <color theme="2" tint="-9.9978637043366805E-2"/>
        </bottom>
      </border>
    </dxf>
    <dxf>
      <numFmt numFmtId="19" formatCode="m/d/yyyy"/>
    </dxf>
    <dxf>
      <border>
        <vertical style="thin">
          <color auto="1"/>
        </vertical>
        <horizontal/>
      </border>
    </dxf>
  </dxfs>
  <tableStyles count="2" defaultTableStyle="TableStyleMedium2" defaultPivotStyle="PivotStyleLight16">
    <tableStyle name="Table Style 1" pivot="0" count="0" xr9:uid="{9E4A7030-7C46-4801-9D72-6AABD167557C}"/>
    <tableStyle name="Table Style 2" pivot="0" count="1" xr9:uid="{1AAF3AEE-43F3-4C74-827B-FC55C8887AA4}">
      <tableStyleElement type="wholeTable" dxfId="11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Project.xlsx]salesdata!PivotTable3</c:name>
    <c:fmtId val="4"/>
  </c:pivotSource>
  <c:chart>
    <c:title>
      <c:tx>
        <c:rich>
          <a:bodyPr rot="0" spcFirstLastPara="1" vertOverflow="ellipsis" vert="horz" wrap="square" anchor="ctr" anchorCtr="1"/>
          <a:lstStyle/>
          <a:p>
            <a:pPr algn="ctr" rtl="0">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solidFill>
                  <a:schemeClr val="tx1"/>
                </a:solidFill>
              </a:rPr>
              <a:t>Sales by Category</a:t>
            </a:r>
          </a:p>
        </c:rich>
      </c:tx>
      <c:layout>
        <c:manualLayout>
          <c:xMode val="edge"/>
          <c:yMode val="edge"/>
          <c:x val="0.46213849858325312"/>
          <c:y val="7.6623469457137827E-2"/>
        </c:manualLayout>
      </c:layout>
      <c:overlay val="0"/>
      <c:spPr>
        <a:noFill/>
        <a:ln>
          <a:noFill/>
        </a:ln>
        <a:effectLst/>
      </c:spPr>
      <c:txPr>
        <a:bodyPr rot="0" spcFirstLastPara="1" vertOverflow="ellipsis" vert="horz" wrap="square" anchor="ctr" anchorCtr="1"/>
        <a:lstStyle/>
        <a:p>
          <a:pPr algn="ctr" rtl="0">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salesdata!$A$14:$A$18</c:f>
              <c:strCache>
                <c:ptCount val="4"/>
                <c:pt idx="0">
                  <c:v>Electronics</c:v>
                </c:pt>
                <c:pt idx="1">
                  <c:v>Furniture</c:v>
                </c:pt>
                <c:pt idx="2">
                  <c:v>Accessories</c:v>
                </c:pt>
                <c:pt idx="3">
                  <c:v>Stationery</c:v>
                </c:pt>
              </c:strCache>
            </c:strRef>
          </c:cat>
          <c:val>
            <c:numRef>
              <c:f>salesdata!$B$14:$B$18</c:f>
              <c:numCache>
                <c:formatCode>_ [$₹-860]\ * #,##0_ ;_ [$₹-860]\ * \-#,##0_ ;_ [$₹-860]\ * "-"_ ;_ @_ </c:formatCode>
                <c:ptCount val="4"/>
                <c:pt idx="0">
                  <c:v>434600</c:v>
                </c:pt>
                <c:pt idx="1">
                  <c:v>68000</c:v>
                </c:pt>
                <c:pt idx="2">
                  <c:v>43900</c:v>
                </c:pt>
                <c:pt idx="3">
                  <c:v>5950</c:v>
                </c:pt>
              </c:numCache>
            </c:numRef>
          </c:val>
          <c:extLst>
            <c:ext xmlns:c16="http://schemas.microsoft.com/office/drawing/2014/chart" uri="{C3380CC4-5D6E-409C-BE32-E72D297353CC}">
              <c16:uniqueId val="{00000000-0414-4FDF-A612-00FEA24A773B}"/>
            </c:ext>
          </c:extLst>
        </c:ser>
        <c:dLbls>
          <c:showLegendKey val="0"/>
          <c:showVal val="0"/>
          <c:showCatName val="0"/>
          <c:showSerName val="0"/>
          <c:showPercent val="0"/>
          <c:showBubbleSize val="0"/>
        </c:dLbls>
        <c:gapWidth val="219"/>
        <c:overlap val="-27"/>
        <c:axId val="855570128"/>
        <c:axId val="855571888"/>
      </c:barChart>
      <c:catAx>
        <c:axId val="85557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55571888"/>
        <c:crosses val="autoZero"/>
        <c:auto val="1"/>
        <c:lblAlgn val="ctr"/>
        <c:lblOffset val="100"/>
        <c:noMultiLvlLbl val="0"/>
      </c:catAx>
      <c:valAx>
        <c:axId val="855571888"/>
        <c:scaling>
          <c:orientation val="minMax"/>
        </c:scaling>
        <c:delete val="0"/>
        <c:axPos val="l"/>
        <c:numFmt formatCode="_ [$₹-860]\ * #,##0_ ;_ [$₹-860]\ * \-#,##0_ ;_ [$₹-860]\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5557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Project.xlsx]salesdata!PivotTable4</c:name>
    <c:fmtId val="4"/>
  </c:pivotSource>
  <c:chart>
    <c:title>
      <c:tx>
        <c:rich>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a:solidFill>
                  <a:schemeClr val="tx1"/>
                </a:solidFill>
              </a:rPr>
              <a:t>Monthly Sales Trend</a:t>
            </a:r>
          </a:p>
        </c:rich>
      </c:tx>
      <c:layout>
        <c:manualLayout>
          <c:xMode val="edge"/>
          <c:yMode val="edge"/>
          <c:x val="0.40383387497332113"/>
          <c:y val="0.11336695221316369"/>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salesdata!$B$25</c:f>
              <c:strCache>
                <c:ptCount val="1"/>
                <c:pt idx="0">
                  <c:v>Total</c:v>
                </c:pt>
              </c:strCache>
            </c:strRef>
          </c:tx>
          <c:spPr>
            <a:solidFill>
              <a:schemeClr val="accent1"/>
            </a:solidFill>
            <a:ln>
              <a:noFill/>
            </a:ln>
            <a:effectLst/>
          </c:spPr>
          <c:invertIfNegative val="0"/>
          <c:cat>
            <c:multiLvlStrRef>
              <c:f>salesdata!$A$26:$A$29</c:f>
              <c:multiLvlStrCache>
                <c:ptCount val="2"/>
                <c:lvl>
                  <c:pt idx="0">
                    <c:v>Jun</c:v>
                  </c:pt>
                  <c:pt idx="1">
                    <c:v>Jul</c:v>
                  </c:pt>
                </c:lvl>
                <c:lvl>
                  <c:pt idx="0">
                    <c:v>2026</c:v>
                  </c:pt>
                </c:lvl>
              </c:multiLvlStrCache>
            </c:multiLvlStrRef>
          </c:cat>
          <c:val>
            <c:numRef>
              <c:f>salesdata!$B$26:$B$29</c:f>
              <c:numCache>
                <c:formatCode>_ [$₹-44E]* #,##0_ ;_ [$₹-44E]* \-#,##0_ ;_ [$₹-44E]* "-"_ ;_ @_ </c:formatCode>
                <c:ptCount val="2"/>
                <c:pt idx="0">
                  <c:v>356750</c:v>
                </c:pt>
                <c:pt idx="1">
                  <c:v>195700</c:v>
                </c:pt>
              </c:numCache>
            </c:numRef>
          </c:val>
          <c:extLst>
            <c:ext xmlns:c16="http://schemas.microsoft.com/office/drawing/2014/chart" uri="{C3380CC4-5D6E-409C-BE32-E72D297353CC}">
              <c16:uniqueId val="{00000000-F379-4332-8C60-7844365ABDFF}"/>
            </c:ext>
          </c:extLst>
        </c:ser>
        <c:dLbls>
          <c:showLegendKey val="0"/>
          <c:showVal val="0"/>
          <c:showCatName val="0"/>
          <c:showSerName val="0"/>
          <c:showPercent val="0"/>
          <c:showBubbleSize val="0"/>
        </c:dLbls>
        <c:gapWidth val="219"/>
        <c:overlap val="-27"/>
        <c:axId val="1041715440"/>
        <c:axId val="1041713680"/>
      </c:barChart>
      <c:catAx>
        <c:axId val="10417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41713680"/>
        <c:crosses val="autoZero"/>
        <c:auto val="1"/>
        <c:lblAlgn val="ctr"/>
        <c:lblOffset val="100"/>
        <c:noMultiLvlLbl val="0"/>
      </c:catAx>
      <c:valAx>
        <c:axId val="1041713680"/>
        <c:scaling>
          <c:orientation val="minMax"/>
        </c:scaling>
        <c:delete val="0"/>
        <c:axPos val="l"/>
        <c:numFmt formatCode="_ [$₹-44E]* #,##0_ ;_ [$₹-44E]* \-#,##0_ ;_ [$₹-44E]*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417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Project.xlsx]salesdata!PivotTable5</c:name>
    <c:fmtId val="9"/>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solidFill>
                  <a:schemeClr val="tx1"/>
                </a:solidFill>
              </a:rPr>
              <a:t>Sales by Product</a:t>
            </a:r>
          </a:p>
        </c:rich>
      </c:tx>
      <c:layout>
        <c:manualLayout>
          <c:xMode val="edge"/>
          <c:yMode val="edge"/>
          <c:x val="0.40916621469796427"/>
          <c:y val="0.12049531153004214"/>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salesdata!$M$13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salesdata!$L$14:$L$34</c:f>
              <c:strCache>
                <c:ptCount val="20"/>
                <c:pt idx="0">
                  <c:v>Smartphone</c:v>
                </c:pt>
                <c:pt idx="1">
                  <c:v>Laptop</c:v>
                </c:pt>
                <c:pt idx="2">
                  <c:v>Tablet</c:v>
                </c:pt>
                <c:pt idx="3">
                  <c:v>Study Table</c:v>
                </c:pt>
                <c:pt idx="4">
                  <c:v>External HDD</c:v>
                </c:pt>
                <c:pt idx="5">
                  <c:v>Office Chair</c:v>
                </c:pt>
                <c:pt idx="6">
                  <c:v>Headphones</c:v>
                </c:pt>
                <c:pt idx="7">
                  <c:v>Speaker</c:v>
                </c:pt>
                <c:pt idx="8">
                  <c:v>Monitor</c:v>
                </c:pt>
                <c:pt idx="9">
                  <c:v>Printer</c:v>
                </c:pt>
                <c:pt idx="10">
                  <c:v>Pen Drive</c:v>
                </c:pt>
                <c:pt idx="11">
                  <c:v>Bookshelf</c:v>
                </c:pt>
                <c:pt idx="12">
                  <c:v>Backpack</c:v>
                </c:pt>
                <c:pt idx="13">
                  <c:v>Calculator</c:v>
                </c:pt>
                <c:pt idx="14">
                  <c:v>Desk Lamp</c:v>
                </c:pt>
                <c:pt idx="15">
                  <c:v>Mouse</c:v>
                </c:pt>
                <c:pt idx="16">
                  <c:v>Webcam</c:v>
                </c:pt>
                <c:pt idx="17">
                  <c:v>Water Bottle</c:v>
                </c:pt>
                <c:pt idx="18">
                  <c:v>Keyboard</c:v>
                </c:pt>
                <c:pt idx="19">
                  <c:v>Notebook</c:v>
                </c:pt>
              </c:strCache>
            </c:strRef>
          </c:cat>
          <c:val>
            <c:numRef>
              <c:f>salesdata!$M$14:$M$34</c:f>
              <c:numCache>
                <c:formatCode>_ [$₹-447]* #,##0_ ;_ [$₹-447]* \-#,##0_ ;_ [$₹-447]* "-"_ ;_ @_ </c:formatCode>
                <c:ptCount val="20"/>
                <c:pt idx="0">
                  <c:v>160000</c:v>
                </c:pt>
                <c:pt idx="1">
                  <c:v>155000</c:v>
                </c:pt>
                <c:pt idx="2">
                  <c:v>60000</c:v>
                </c:pt>
                <c:pt idx="3">
                  <c:v>36000</c:v>
                </c:pt>
                <c:pt idx="4">
                  <c:v>28000</c:v>
                </c:pt>
                <c:pt idx="5">
                  <c:v>21500</c:v>
                </c:pt>
                <c:pt idx="6">
                  <c:v>15500</c:v>
                </c:pt>
                <c:pt idx="7">
                  <c:v>15000</c:v>
                </c:pt>
                <c:pt idx="8">
                  <c:v>12000</c:v>
                </c:pt>
                <c:pt idx="9">
                  <c:v>8000</c:v>
                </c:pt>
                <c:pt idx="10">
                  <c:v>6700</c:v>
                </c:pt>
                <c:pt idx="11">
                  <c:v>6000</c:v>
                </c:pt>
                <c:pt idx="12">
                  <c:v>6000</c:v>
                </c:pt>
                <c:pt idx="13">
                  <c:v>4950</c:v>
                </c:pt>
                <c:pt idx="14">
                  <c:v>4500</c:v>
                </c:pt>
                <c:pt idx="15">
                  <c:v>4000</c:v>
                </c:pt>
                <c:pt idx="16">
                  <c:v>3600</c:v>
                </c:pt>
                <c:pt idx="17">
                  <c:v>3200</c:v>
                </c:pt>
                <c:pt idx="18">
                  <c:v>1500</c:v>
                </c:pt>
                <c:pt idx="19">
                  <c:v>1000</c:v>
                </c:pt>
              </c:numCache>
            </c:numRef>
          </c:val>
          <c:extLst>
            <c:ext xmlns:c16="http://schemas.microsoft.com/office/drawing/2014/chart" uri="{C3380CC4-5D6E-409C-BE32-E72D297353CC}">
              <c16:uniqueId val="{00000000-3DA2-4CEE-AB19-9F4978F25604}"/>
            </c:ext>
          </c:extLst>
        </c:ser>
        <c:dLbls>
          <c:showLegendKey val="0"/>
          <c:showVal val="0"/>
          <c:showCatName val="0"/>
          <c:showSerName val="0"/>
          <c:showPercent val="0"/>
          <c:showBubbleSize val="0"/>
        </c:dLbls>
        <c:gapWidth val="219"/>
        <c:overlap val="-27"/>
        <c:axId val="397841168"/>
        <c:axId val="397838000"/>
      </c:barChart>
      <c:catAx>
        <c:axId val="3978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97838000"/>
        <c:crosses val="autoZero"/>
        <c:auto val="1"/>
        <c:lblAlgn val="ctr"/>
        <c:lblOffset val="100"/>
        <c:noMultiLvlLbl val="0"/>
      </c:catAx>
      <c:valAx>
        <c:axId val="397838000"/>
        <c:scaling>
          <c:orientation val="minMax"/>
        </c:scaling>
        <c:delete val="0"/>
        <c:axPos val="l"/>
        <c:numFmt formatCode="_ [$₹-447]* #,##0_ ;_ [$₹-447]* \-#,##0_ ;_ [$₹-447]* &quot;-&quot;_ ;_ @_ "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9784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Project.xlsx]salesdata!PivotTable6</c:name>
    <c:fmtId val="4"/>
  </c:pivotSource>
  <c:chart>
    <c:title>
      <c:tx>
        <c:rich>
          <a:bodyPr rot="0" spcFirstLastPara="1" vertOverflow="ellipsis" vert="horz" wrap="square" anchor="ctr" anchorCtr="1"/>
          <a:lstStyle/>
          <a:p>
            <a:pPr algn="ctr" rtl="0">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solidFill>
                  <a:schemeClr val="tx1"/>
                </a:solidFill>
              </a:rPr>
              <a:t>Quantity Sold by Category</a:t>
            </a:r>
          </a:p>
        </c:rich>
      </c:tx>
      <c:layout>
        <c:manualLayout>
          <c:xMode val="edge"/>
          <c:yMode val="edge"/>
          <c:x val="0.38709071110754023"/>
          <c:y val="8.7300290783154197E-2"/>
        </c:manualLayout>
      </c:layout>
      <c:overlay val="0"/>
      <c:spPr>
        <a:noFill/>
        <a:ln>
          <a:noFill/>
        </a:ln>
        <a:effectLst/>
      </c:spPr>
      <c:txPr>
        <a:bodyPr rot="0" spcFirstLastPara="1" vertOverflow="ellipsis" vert="horz" wrap="square" anchor="ctr" anchorCtr="1"/>
        <a:lstStyle/>
        <a:p>
          <a:pPr algn="ctr" rtl="0">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salesdata!$A$38:$A$42</c:f>
              <c:strCache>
                <c:ptCount val="4"/>
                <c:pt idx="0">
                  <c:v>Electronics</c:v>
                </c:pt>
                <c:pt idx="1">
                  <c:v>Accessories</c:v>
                </c:pt>
                <c:pt idx="2">
                  <c:v>Stationery</c:v>
                </c:pt>
                <c:pt idx="3">
                  <c:v>Furniture</c:v>
                </c:pt>
              </c:strCache>
            </c:strRef>
          </c:cat>
          <c:val>
            <c:numRef>
              <c:f>salesdata!$B$38:$B$42</c:f>
              <c:numCache>
                <c:formatCode>_-[$₹-460]\ * #,##0_-;\-[$₹-460]\ * #,##0_-;_-[$₹-460]\ * "-"_-;_-@_-</c:formatCode>
                <c:ptCount val="4"/>
                <c:pt idx="0">
                  <c:v>34</c:v>
                </c:pt>
                <c:pt idx="1">
                  <c:v>28</c:v>
                </c:pt>
                <c:pt idx="2">
                  <c:v>17</c:v>
                </c:pt>
                <c:pt idx="3">
                  <c:v>11</c:v>
                </c:pt>
              </c:numCache>
            </c:numRef>
          </c:val>
          <c:extLst>
            <c:ext xmlns:c16="http://schemas.microsoft.com/office/drawing/2014/chart" uri="{C3380CC4-5D6E-409C-BE32-E72D297353CC}">
              <c16:uniqueId val="{00000000-CBD6-4DBC-B43B-BDDED14B914D}"/>
            </c:ext>
          </c:extLst>
        </c:ser>
        <c:dLbls>
          <c:showLegendKey val="0"/>
          <c:showVal val="0"/>
          <c:showCatName val="0"/>
          <c:showSerName val="0"/>
          <c:showPercent val="0"/>
          <c:showBubbleSize val="0"/>
        </c:dLbls>
        <c:gapWidth val="219"/>
        <c:overlap val="-27"/>
        <c:axId val="397841520"/>
        <c:axId val="397844688"/>
      </c:barChart>
      <c:catAx>
        <c:axId val="39784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97844688"/>
        <c:crosses val="autoZero"/>
        <c:auto val="1"/>
        <c:lblAlgn val="ctr"/>
        <c:lblOffset val="100"/>
        <c:noMultiLvlLbl val="0"/>
      </c:catAx>
      <c:valAx>
        <c:axId val="397844688"/>
        <c:scaling>
          <c:orientation val="minMax"/>
        </c:scaling>
        <c:delete val="0"/>
        <c:axPos val="l"/>
        <c:numFmt formatCode="_-[$₹-460]\ * #,##0_-;\-[$₹-460]\ * #,##0_-;_-[$₹-460]\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978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Project.xlsx]salesdata!PivotTable8</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i="0" u="none" strike="noStrike" kern="1200" spc="0" baseline="0">
                <a:solidFill>
                  <a:schemeClr val="tx1"/>
                </a:solidFill>
                <a:latin typeface="Arial" panose="020B0604020202020204" pitchFamily="34" charset="0"/>
                <a:cs typeface="Arial" panose="020B0604020202020204" pitchFamily="34" charset="0"/>
              </a:rPr>
              <a:t>Top 5 Products by Sales</a:t>
            </a:r>
          </a:p>
        </c:rich>
      </c:tx>
      <c:layout>
        <c:manualLayout>
          <c:xMode val="edge"/>
          <c:yMode val="edge"/>
          <c:x val="0.37593183911820799"/>
          <c:y val="0.1060816672066554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salesdata!$Z$18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salesdata!$Y$19:$Y$24</c:f>
              <c:strCache>
                <c:ptCount val="5"/>
                <c:pt idx="0">
                  <c:v>Smartphone</c:v>
                </c:pt>
                <c:pt idx="1">
                  <c:v>Laptop</c:v>
                </c:pt>
                <c:pt idx="2">
                  <c:v>Tablet</c:v>
                </c:pt>
                <c:pt idx="3">
                  <c:v>Study Table</c:v>
                </c:pt>
                <c:pt idx="4">
                  <c:v>External HDD</c:v>
                </c:pt>
              </c:strCache>
            </c:strRef>
          </c:cat>
          <c:val>
            <c:numRef>
              <c:f>salesdata!$Z$19:$Z$24</c:f>
              <c:numCache>
                <c:formatCode>_ [$₹-439]* #,##0_ ;_ [$₹-439]* \-#,##0_ ;_ [$₹-439]* "-"_ ;_ @_ </c:formatCode>
                <c:ptCount val="5"/>
                <c:pt idx="0">
                  <c:v>160000</c:v>
                </c:pt>
                <c:pt idx="1">
                  <c:v>155000</c:v>
                </c:pt>
                <c:pt idx="2">
                  <c:v>60000</c:v>
                </c:pt>
                <c:pt idx="3">
                  <c:v>36000</c:v>
                </c:pt>
                <c:pt idx="4">
                  <c:v>28000</c:v>
                </c:pt>
              </c:numCache>
            </c:numRef>
          </c:val>
          <c:extLst>
            <c:ext xmlns:c16="http://schemas.microsoft.com/office/drawing/2014/chart" uri="{C3380CC4-5D6E-409C-BE32-E72D297353CC}">
              <c16:uniqueId val="{00000000-0DD9-4EEE-B437-9895359B36B2}"/>
            </c:ext>
          </c:extLst>
        </c:ser>
        <c:dLbls>
          <c:showLegendKey val="0"/>
          <c:showVal val="0"/>
          <c:showCatName val="0"/>
          <c:showSerName val="0"/>
          <c:showPercent val="0"/>
          <c:showBubbleSize val="0"/>
        </c:dLbls>
        <c:gapWidth val="219"/>
        <c:overlap val="-27"/>
        <c:axId val="397851376"/>
        <c:axId val="397847504"/>
      </c:barChart>
      <c:catAx>
        <c:axId val="39785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47504"/>
        <c:crosses val="autoZero"/>
        <c:auto val="1"/>
        <c:lblAlgn val="ctr"/>
        <c:lblOffset val="100"/>
        <c:noMultiLvlLbl val="0"/>
      </c:catAx>
      <c:valAx>
        <c:axId val="397847504"/>
        <c:scaling>
          <c:orientation val="minMax"/>
        </c:scaling>
        <c:delete val="0"/>
        <c:axPos val="l"/>
        <c:numFmt formatCode="_ [$₹-439]* #,##0_ ;_ [$₹-439]* \-#,##0_ ;_ [$₹-439]*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785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Project.xlsx]salesdata!PivotTable7</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200" b="1" i="0" baseline="0">
                <a:solidFill>
                  <a:schemeClr val="tx1"/>
                </a:solidFill>
                <a:effectLst/>
                <a:latin typeface="Arial" panose="020B0604020202020204" pitchFamily="34" charset="0"/>
                <a:cs typeface="Arial" panose="020B0604020202020204" pitchFamily="34" charset="0"/>
              </a:rPr>
              <a:t>Top 5 Customers by Sales</a:t>
            </a:r>
            <a:endParaRPr lang="en-US" sz="1200" b="1">
              <a:solidFill>
                <a:schemeClr val="tx1"/>
              </a:solidFill>
              <a:effectLst/>
              <a:latin typeface="Arial" panose="020B0604020202020204" pitchFamily="34" charset="0"/>
              <a:cs typeface="Arial" panose="020B0604020202020204" pitchFamily="34" charset="0"/>
            </a:endParaRPr>
          </a:p>
        </c:rich>
      </c:tx>
      <c:layout>
        <c:manualLayout>
          <c:xMode val="edge"/>
          <c:yMode val="edge"/>
          <c:x val="0.37974300087489066"/>
          <c:y val="0.1149253416195639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salesdata!$M$37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salesdata!$L$38:$L$43</c:f>
              <c:strCache>
                <c:ptCount val="5"/>
                <c:pt idx="0">
                  <c:v>Kiran</c:v>
                </c:pt>
                <c:pt idx="1">
                  <c:v>Mahesh</c:v>
                </c:pt>
                <c:pt idx="2">
                  <c:v>Ajay</c:v>
                </c:pt>
                <c:pt idx="3">
                  <c:v>Ramesh</c:v>
                </c:pt>
                <c:pt idx="4">
                  <c:v>Rohit</c:v>
                </c:pt>
              </c:strCache>
            </c:strRef>
          </c:cat>
          <c:val>
            <c:numRef>
              <c:f>salesdata!$M$38:$M$43</c:f>
              <c:numCache>
                <c:formatCode>_ [$₹-446]\ * #,##0_ ;_ [$₹-446]\ * \-#,##0_ ;_ [$₹-446]\ * "-"_ ;_ @_ </c:formatCode>
                <c:ptCount val="5"/>
                <c:pt idx="0">
                  <c:v>85000</c:v>
                </c:pt>
                <c:pt idx="1">
                  <c:v>71600</c:v>
                </c:pt>
                <c:pt idx="2">
                  <c:v>70000</c:v>
                </c:pt>
                <c:pt idx="3">
                  <c:v>65100</c:v>
                </c:pt>
                <c:pt idx="4">
                  <c:v>62000</c:v>
                </c:pt>
              </c:numCache>
            </c:numRef>
          </c:val>
          <c:extLst>
            <c:ext xmlns:c16="http://schemas.microsoft.com/office/drawing/2014/chart" uri="{C3380CC4-5D6E-409C-BE32-E72D297353CC}">
              <c16:uniqueId val="{00000000-3EE0-4FFC-9FA9-7BD881C046E5}"/>
            </c:ext>
          </c:extLst>
        </c:ser>
        <c:dLbls>
          <c:showLegendKey val="0"/>
          <c:showVal val="0"/>
          <c:showCatName val="0"/>
          <c:showSerName val="0"/>
          <c:showPercent val="0"/>
          <c:showBubbleSize val="0"/>
        </c:dLbls>
        <c:gapWidth val="219"/>
        <c:overlap val="-27"/>
        <c:axId val="695634128"/>
        <c:axId val="695634480"/>
      </c:barChart>
      <c:catAx>
        <c:axId val="69563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34480"/>
        <c:crosses val="autoZero"/>
        <c:auto val="1"/>
        <c:lblAlgn val="ctr"/>
        <c:lblOffset val="100"/>
        <c:noMultiLvlLbl val="0"/>
      </c:catAx>
      <c:valAx>
        <c:axId val="695634480"/>
        <c:scaling>
          <c:orientation val="minMax"/>
        </c:scaling>
        <c:delete val="0"/>
        <c:axPos val="l"/>
        <c:numFmt formatCode="_ [$₹-446]\ * #,##0_ ;_ [$₹-446]\ * \-#,##0_ ;_ [$₹-446]\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8282</xdr:colOff>
      <xdr:row>8</xdr:row>
      <xdr:rowOff>0</xdr:rowOff>
    </xdr:from>
    <xdr:to>
      <xdr:col>8</xdr:col>
      <xdr:colOff>0</xdr:colOff>
      <xdr:row>20</xdr:row>
      <xdr:rowOff>8284</xdr:rowOff>
    </xdr:to>
    <xdr:graphicFrame macro="">
      <xdr:nvGraphicFramePr>
        <xdr:cNvPr id="2" name="Chart 1">
          <a:extLst>
            <a:ext uri="{FF2B5EF4-FFF2-40B4-BE49-F238E27FC236}">
              <a16:creationId xmlns:a16="http://schemas.microsoft.com/office/drawing/2014/main" id="{D194C946-3B3F-4E16-B7BE-6AA236293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918883</xdr:colOff>
      <xdr:row>8</xdr:row>
      <xdr:rowOff>1</xdr:rowOff>
    </xdr:from>
    <xdr:to>
      <xdr:col>19</xdr:col>
      <xdr:colOff>582705</xdr:colOff>
      <xdr:row>20</xdr:row>
      <xdr:rowOff>8284</xdr:rowOff>
    </xdr:to>
    <xdr:graphicFrame macro="">
      <xdr:nvGraphicFramePr>
        <xdr:cNvPr id="3" name="Chart 2">
          <a:extLst>
            <a:ext uri="{FF2B5EF4-FFF2-40B4-BE49-F238E27FC236}">
              <a16:creationId xmlns:a16="http://schemas.microsoft.com/office/drawing/2014/main" id="{0DA07A07-00F4-4044-99AD-F8AD0273E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190499</xdr:rowOff>
    </xdr:from>
    <xdr:to>
      <xdr:col>8</xdr:col>
      <xdr:colOff>11206</xdr:colOff>
      <xdr:row>33</xdr:row>
      <xdr:rowOff>9524</xdr:rowOff>
    </xdr:to>
    <xdr:graphicFrame macro="">
      <xdr:nvGraphicFramePr>
        <xdr:cNvPr id="4" name="Chart 3">
          <a:extLst>
            <a:ext uri="{FF2B5EF4-FFF2-40B4-BE49-F238E27FC236}">
              <a16:creationId xmlns:a16="http://schemas.microsoft.com/office/drawing/2014/main" id="{40434C83-4096-4F13-BB85-B3DCB47FE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11207</xdr:colOff>
      <xdr:row>21</xdr:row>
      <xdr:rowOff>1</xdr:rowOff>
    </xdr:from>
    <xdr:to>
      <xdr:col>19</xdr:col>
      <xdr:colOff>595312</xdr:colOff>
      <xdr:row>33</xdr:row>
      <xdr:rowOff>9526</xdr:rowOff>
    </xdr:to>
    <xdr:graphicFrame macro="">
      <xdr:nvGraphicFramePr>
        <xdr:cNvPr id="5" name="Chart 4">
          <a:extLst>
            <a:ext uri="{FF2B5EF4-FFF2-40B4-BE49-F238E27FC236}">
              <a16:creationId xmlns:a16="http://schemas.microsoft.com/office/drawing/2014/main" id="{6EB190E2-BD4F-4C37-BB7D-46618A143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xdr:colOff>
      <xdr:row>34</xdr:row>
      <xdr:rowOff>2</xdr:rowOff>
    </xdr:from>
    <xdr:to>
      <xdr:col>19</xdr:col>
      <xdr:colOff>612320</xdr:colOff>
      <xdr:row>46</xdr:row>
      <xdr:rowOff>13607</xdr:rowOff>
    </xdr:to>
    <xdr:graphicFrame macro="">
      <xdr:nvGraphicFramePr>
        <xdr:cNvPr id="7" name="Chart 6">
          <a:extLst>
            <a:ext uri="{FF2B5EF4-FFF2-40B4-BE49-F238E27FC236}">
              <a16:creationId xmlns:a16="http://schemas.microsoft.com/office/drawing/2014/main" id="{6C19D16D-BFB0-417D-836D-7EBEBD0CD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0</xdr:colOff>
      <xdr:row>9</xdr:row>
      <xdr:rowOff>0</xdr:rowOff>
    </xdr:from>
    <xdr:to>
      <xdr:col>24</xdr:col>
      <xdr:colOff>605116</xdr:colOff>
      <xdr:row>23</xdr:row>
      <xdr:rowOff>11206</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D843CB8-0049-464F-BC65-F018406EBF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985182" y="1939636"/>
              <a:ext cx="1817389" cy="2678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29324</xdr:colOff>
      <xdr:row>9</xdr:row>
      <xdr:rowOff>13242</xdr:rowOff>
    </xdr:from>
    <xdr:to>
      <xdr:col>27</xdr:col>
      <xdr:colOff>972218</xdr:colOff>
      <xdr:row>23</xdr:row>
      <xdr:rowOff>2036</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219667FD-9BD4-41FF-A0F0-4805866E2B3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2589967" y="1972671"/>
              <a:ext cx="1800144" cy="26557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547487</xdr:colOff>
      <xdr:row>9</xdr:row>
      <xdr:rowOff>11206</xdr:rowOff>
    </xdr:from>
    <xdr:to>
      <xdr:col>31</xdr:col>
      <xdr:colOff>1185932</xdr:colOff>
      <xdr:row>23</xdr:row>
      <xdr:rowOff>22412</xdr:rowOff>
    </xdr:to>
    <mc:AlternateContent xmlns:mc="http://schemas.openxmlformats.org/markup-compatibility/2006">
      <mc:Choice xmlns:a14="http://schemas.microsoft.com/office/drawing/2010/main" Requires="a14">
        <xdr:graphicFrame macro="">
          <xdr:nvGraphicFramePr>
            <xdr:cNvPr id="10" name="customers_name">
              <a:extLst>
                <a:ext uri="{FF2B5EF4-FFF2-40B4-BE49-F238E27FC236}">
                  <a16:creationId xmlns:a16="http://schemas.microsoft.com/office/drawing/2014/main" id="{8FD84D4B-ACCD-49B3-96FF-23C1A13F0BE6}"/>
                </a:ext>
              </a:extLst>
            </xdr:cNvPr>
            <xdr:cNvGraphicFramePr/>
          </xdr:nvGraphicFramePr>
          <xdr:xfrm>
            <a:off x="0" y="0"/>
            <a:ext cx="0" cy="0"/>
          </xdr:xfrm>
          <a:graphic>
            <a:graphicData uri="http://schemas.microsoft.com/office/drawing/2010/slicer">
              <sle:slicer xmlns:sle="http://schemas.microsoft.com/office/drawing/2010/slicer" name="customers_name"/>
            </a:graphicData>
          </a:graphic>
        </xdr:graphicFrame>
      </mc:Choice>
      <mc:Fallback>
        <xdr:sp macro="" textlink="">
          <xdr:nvSpPr>
            <xdr:cNvPr id="0" name=""/>
            <xdr:cNvSpPr>
              <a:spLocks noTextEdit="1"/>
            </xdr:cNvSpPr>
          </xdr:nvSpPr>
          <xdr:spPr>
            <a:xfrm>
              <a:off x="25530201" y="1970635"/>
              <a:ext cx="1863088" cy="2678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34</xdr:row>
      <xdr:rowOff>0</xdr:rowOff>
    </xdr:from>
    <xdr:to>
      <xdr:col>8</xdr:col>
      <xdr:colOff>0</xdr:colOff>
      <xdr:row>46</xdr:row>
      <xdr:rowOff>34637</xdr:rowOff>
    </xdr:to>
    <xdr:graphicFrame macro="">
      <xdr:nvGraphicFramePr>
        <xdr:cNvPr id="12" name="Chart 11">
          <a:extLst>
            <a:ext uri="{FF2B5EF4-FFF2-40B4-BE49-F238E27FC236}">
              <a16:creationId xmlns:a16="http://schemas.microsoft.com/office/drawing/2014/main" id="{B8C75A9F-A8AA-4C33-8085-F8D8C9CDC7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51.874363773146" createdVersion="8" refreshedVersion="8" minRefreshableVersion="3" recordCount="40" xr:uid="{D20928CC-8F7A-4F6F-BDB0-DCFDEA4B8B86}">
  <cacheSource type="worksheet">
    <worksheetSource name="Salesdata"/>
  </cacheSource>
  <cacheFields count="11">
    <cacheField name="order_id" numFmtId="0">
      <sharedItems containsSemiMixedTypes="0" containsString="0" containsNumber="1" containsInteger="1" minValue="101" maxValue="140"/>
    </cacheField>
    <cacheField name="order_date" numFmtId="14">
      <sharedItems containsSemiMixedTypes="0" containsNonDate="0" containsDate="1" containsString="0" minDate="2026-06-01T00:00:00" maxDate="2026-07-11T00:00:00" count="4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sharedItems>
      <fieldGroup par="10"/>
    </cacheField>
    <cacheField name="customer_id" numFmtId="0">
      <sharedItems containsSemiMixedTypes="0" containsString="0" containsNumber="1" containsInteger="1" minValue="1" maxValue="20"/>
    </cacheField>
    <cacheField name="customers_name" numFmtId="0">
      <sharedItems count="20">
        <s v="Rohit"/>
        <s v="Ravi"/>
        <s v="Ajay"/>
        <s v="Kiran"/>
        <s v="Suresh"/>
        <s v="Vijay"/>
        <s v="Arjun"/>
        <s v="Nikhil"/>
        <s v="Mahesh"/>
        <s v="Ramesh"/>
        <s v="Anil"/>
        <s v="Prakash"/>
        <s v="Vinay"/>
        <s v="Deepak"/>
        <s v="Naresh"/>
        <s v="Santosh"/>
        <s v="Harish"/>
        <s v="Lokesh"/>
        <s v="Ganesh"/>
        <s v="Manoj"/>
      </sharedItems>
    </cacheField>
    <cacheField name="product_name" numFmtId="0">
      <sharedItems count="20">
        <s v="Laptop"/>
        <s v="Mouse"/>
        <s v="Keyboard"/>
        <s v="Monitor"/>
        <s v="Headphones"/>
        <s v="Smartphone"/>
        <s v="Tablet"/>
        <s v="Printer"/>
        <s v="Webcam"/>
        <s v="Speaker"/>
        <s v="Office Chair"/>
        <s v="Study Table"/>
        <s v="Bookshelf"/>
        <s v="Pen Drive"/>
        <s v="External HDD"/>
        <s v="Backpack"/>
        <s v="Water Bottle"/>
        <s v="Notebook"/>
        <s v="Calculator"/>
        <s v="Desk Lamp"/>
      </sharedItems>
    </cacheField>
    <cacheField name="category" numFmtId="0">
      <sharedItems count="4">
        <s v="Electronics"/>
        <s v="Furniture"/>
        <s v="Accessories"/>
        <s v="Stationery"/>
      </sharedItems>
    </cacheField>
    <cacheField name="price" numFmtId="0">
      <sharedItems containsSemiMixedTypes="0" containsString="0" containsNumber="1" containsInteger="1" minValue="100" maxValue="55000"/>
    </cacheField>
    <cacheField name="quantity" numFmtId="0">
      <sharedItems containsSemiMixedTypes="0" containsString="0" containsNumber="1" containsInteger="1" minValue="1" maxValue="10" count="7">
        <n v="1"/>
        <n v="2"/>
        <n v="3"/>
        <n v="5"/>
        <n v="4"/>
        <n v="10"/>
        <n v="6"/>
      </sharedItems>
    </cacheField>
    <cacheField name="sales" numFmtId="0">
      <sharedItems containsSemiMixedTypes="0" containsString="0" containsNumber="1" containsInteger="1" minValue="1000" maxValue="70000"/>
    </cacheField>
    <cacheField name="Months (order_date)" numFmtId="0" databaseField="0">
      <fieldGroup base="1">
        <rangePr groupBy="months" startDate="2026-06-01T00:00:00" endDate="2026-07-11T00:00:00"/>
        <groupItems count="14">
          <s v="&lt;6/1/2026"/>
          <s v="Jan"/>
          <s v="Feb"/>
          <s v="Mar"/>
          <s v="Apr"/>
          <s v="May"/>
          <s v="Jun"/>
          <s v="Jul"/>
          <s v="Aug"/>
          <s v="Sep"/>
          <s v="Oct"/>
          <s v="Nov"/>
          <s v="Dec"/>
          <s v="&gt;7/11/2026"/>
        </groupItems>
      </fieldGroup>
    </cacheField>
    <cacheField name="Years (order_date)" numFmtId="0" databaseField="0">
      <fieldGroup base="1">
        <rangePr groupBy="years" startDate="2026-06-01T00:00:00" endDate="2026-07-11T00:00:00"/>
        <groupItems count="3">
          <s v="&lt;6/1/2026"/>
          <s v="2026"/>
          <s v="&gt;7/11/2026"/>
        </groupItems>
      </fieldGroup>
    </cacheField>
  </cacheFields>
  <extLst>
    <ext xmlns:x14="http://schemas.microsoft.com/office/spreadsheetml/2009/9/main" uri="{725AE2AE-9491-48be-B2B4-4EB974FC3084}">
      <x14:pivotCacheDefinition pivotCacheId="20547676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52.638435763889" createdVersion="8" refreshedVersion="8" minRefreshableVersion="3" recordCount="2" xr:uid="{6BE2FE7F-3D91-42CA-A57F-24EB33F66AB7}">
  <cacheSource type="worksheet">
    <worksheetSource ref="J7:P9" sheet="Sheet2"/>
  </cacheSource>
  <cacheFields count="7">
    <cacheField name="Total Sales" numFmtId="0">
      <sharedItems containsMixedTypes="1" containsNumber="1" containsInteger="1" minValue="552450" maxValue="552450"/>
    </cacheField>
    <cacheField name=" " numFmtId="0">
      <sharedItems containsNonDate="0" containsString="0" containsBlank="1"/>
    </cacheField>
    <cacheField name="Total Orders" numFmtId="0">
      <sharedItems containsMixedTypes="1" containsNumber="1" containsInteger="1" minValue="40" maxValue="40"/>
    </cacheField>
    <cacheField name="Field4" caption="Field4" numFmtId="0">
      <sharedItems containsNonDate="0" containsString="0" containsBlank="1"/>
    </cacheField>
    <cacheField name="Total Quantity" numFmtId="0">
      <sharedItems containsMixedTypes="1" containsNumber="1" containsInteger="1" minValue="90" maxValue="90"/>
    </cacheField>
    <cacheField name="Field6" caption="Field6" numFmtId="0">
      <sharedItems containsNonDate="0" containsString="0" containsBlank="1"/>
    </cacheField>
    <cacheField name="Total Customers" numFmtId="0">
      <sharedItems containsMixedTypes="1" containsNumber="1" containsInteger="1" minValue="20" maxValue="20" count="2">
        <n v="20"/>
        <s v="Unique customer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IT" refreshedDate="46252.656533912035" createdVersion="8" refreshedVersion="8" minRefreshableVersion="3" recordCount="2" xr:uid="{BDF23207-9CC1-4C71-AF64-D619DD5FC9DB}">
  <cacheSource type="worksheet">
    <worksheetSource name="Table4"/>
  </cacheSource>
  <cacheFields count="4">
    <cacheField name="Total Sales" numFmtId="0">
      <sharedItems containsMixedTypes="1" containsNumber="1" containsInteger="1" minValue="552450" maxValue="552450"/>
    </cacheField>
    <cacheField name="Total Orders" numFmtId="0">
      <sharedItems containsMixedTypes="1" containsNumber="1" containsInteger="1" minValue="40" maxValue="40"/>
    </cacheField>
    <cacheField name="Total Quantity" numFmtId="0">
      <sharedItems containsMixedTypes="1" containsNumber="1" containsInteger="1" minValue="90" maxValue="90"/>
    </cacheField>
    <cacheField name="Total Customers" numFmtId="0">
      <sharedItems containsMixedTypes="1" containsNumber="1" containsInteger="1" minValue="20" maxValue="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1"/>
    <x v="0"/>
    <n v="1"/>
    <x v="0"/>
    <x v="0"/>
    <x v="0"/>
    <n v="50000"/>
    <x v="0"/>
    <n v="50000"/>
  </r>
  <r>
    <n v="102"/>
    <x v="1"/>
    <n v="2"/>
    <x v="1"/>
    <x v="1"/>
    <x v="0"/>
    <n v="500"/>
    <x v="1"/>
    <n v="1000"/>
  </r>
  <r>
    <n v="103"/>
    <x v="2"/>
    <n v="3"/>
    <x v="2"/>
    <x v="2"/>
    <x v="0"/>
    <n v="1500"/>
    <x v="0"/>
    <n v="1500"/>
  </r>
  <r>
    <n v="104"/>
    <x v="3"/>
    <n v="4"/>
    <x v="3"/>
    <x v="3"/>
    <x v="0"/>
    <n v="12000"/>
    <x v="0"/>
    <n v="12000"/>
  </r>
  <r>
    <n v="105"/>
    <x v="4"/>
    <n v="5"/>
    <x v="4"/>
    <x v="4"/>
    <x v="0"/>
    <n v="2500"/>
    <x v="2"/>
    <n v="7500"/>
  </r>
  <r>
    <n v="106"/>
    <x v="5"/>
    <n v="6"/>
    <x v="5"/>
    <x v="5"/>
    <x v="0"/>
    <n v="30000"/>
    <x v="0"/>
    <n v="30000"/>
  </r>
  <r>
    <n v="107"/>
    <x v="6"/>
    <n v="7"/>
    <x v="6"/>
    <x v="6"/>
    <x v="0"/>
    <n v="20000"/>
    <x v="1"/>
    <n v="40000"/>
  </r>
  <r>
    <n v="108"/>
    <x v="7"/>
    <n v="8"/>
    <x v="7"/>
    <x v="7"/>
    <x v="0"/>
    <n v="8000"/>
    <x v="0"/>
    <n v="8000"/>
  </r>
  <r>
    <n v="109"/>
    <x v="8"/>
    <n v="9"/>
    <x v="8"/>
    <x v="8"/>
    <x v="0"/>
    <n v="1800"/>
    <x v="1"/>
    <n v="3600"/>
  </r>
  <r>
    <n v="110"/>
    <x v="9"/>
    <n v="10"/>
    <x v="9"/>
    <x v="9"/>
    <x v="0"/>
    <n v="3500"/>
    <x v="0"/>
    <n v="3500"/>
  </r>
  <r>
    <n v="111"/>
    <x v="10"/>
    <n v="11"/>
    <x v="10"/>
    <x v="10"/>
    <x v="1"/>
    <n v="7000"/>
    <x v="0"/>
    <n v="7000"/>
  </r>
  <r>
    <n v="112"/>
    <x v="11"/>
    <n v="12"/>
    <x v="11"/>
    <x v="11"/>
    <x v="1"/>
    <n v="9000"/>
    <x v="1"/>
    <n v="18000"/>
  </r>
  <r>
    <n v="113"/>
    <x v="12"/>
    <n v="13"/>
    <x v="12"/>
    <x v="12"/>
    <x v="1"/>
    <n v="6000"/>
    <x v="0"/>
    <n v="6000"/>
  </r>
  <r>
    <n v="114"/>
    <x v="13"/>
    <n v="14"/>
    <x v="13"/>
    <x v="13"/>
    <x v="2"/>
    <n v="700"/>
    <x v="3"/>
    <n v="3500"/>
  </r>
  <r>
    <n v="115"/>
    <x v="14"/>
    <n v="15"/>
    <x v="14"/>
    <x v="14"/>
    <x v="2"/>
    <n v="4500"/>
    <x v="0"/>
    <n v="4500"/>
  </r>
  <r>
    <n v="116"/>
    <x v="15"/>
    <n v="16"/>
    <x v="15"/>
    <x v="15"/>
    <x v="2"/>
    <n v="1200"/>
    <x v="1"/>
    <n v="2400"/>
  </r>
  <r>
    <n v="117"/>
    <x v="16"/>
    <n v="17"/>
    <x v="16"/>
    <x v="16"/>
    <x v="2"/>
    <n v="400"/>
    <x v="4"/>
    <n v="1600"/>
  </r>
  <r>
    <n v="118"/>
    <x v="17"/>
    <n v="18"/>
    <x v="17"/>
    <x v="17"/>
    <x v="3"/>
    <n v="100"/>
    <x v="5"/>
    <n v="1000"/>
  </r>
  <r>
    <n v="119"/>
    <x v="18"/>
    <n v="19"/>
    <x v="18"/>
    <x v="18"/>
    <x v="3"/>
    <n v="600"/>
    <x v="1"/>
    <n v="1200"/>
  </r>
  <r>
    <n v="120"/>
    <x v="19"/>
    <n v="20"/>
    <x v="19"/>
    <x v="19"/>
    <x v="1"/>
    <n v="1500"/>
    <x v="0"/>
    <n v="1500"/>
  </r>
  <r>
    <n v="121"/>
    <x v="20"/>
    <n v="1"/>
    <x v="0"/>
    <x v="4"/>
    <x v="0"/>
    <n v="2500"/>
    <x v="1"/>
    <n v="5000"/>
  </r>
  <r>
    <n v="122"/>
    <x v="21"/>
    <n v="2"/>
    <x v="1"/>
    <x v="9"/>
    <x v="0"/>
    <n v="3500"/>
    <x v="0"/>
    <n v="3500"/>
  </r>
  <r>
    <n v="123"/>
    <x v="22"/>
    <n v="3"/>
    <x v="2"/>
    <x v="14"/>
    <x v="2"/>
    <n v="4500"/>
    <x v="2"/>
    <n v="13500"/>
  </r>
  <r>
    <n v="124"/>
    <x v="23"/>
    <n v="4"/>
    <x v="3"/>
    <x v="19"/>
    <x v="1"/>
    <n v="1500"/>
    <x v="1"/>
    <n v="3000"/>
  </r>
  <r>
    <n v="125"/>
    <x v="24"/>
    <n v="5"/>
    <x v="4"/>
    <x v="4"/>
    <x v="0"/>
    <n v="3000"/>
    <x v="0"/>
    <n v="3000"/>
  </r>
  <r>
    <n v="126"/>
    <x v="25"/>
    <n v="6"/>
    <x v="5"/>
    <x v="9"/>
    <x v="0"/>
    <n v="4000"/>
    <x v="1"/>
    <n v="8000"/>
  </r>
  <r>
    <n v="127"/>
    <x v="26"/>
    <n v="7"/>
    <x v="6"/>
    <x v="13"/>
    <x v="2"/>
    <n v="800"/>
    <x v="4"/>
    <n v="3200"/>
  </r>
  <r>
    <n v="128"/>
    <x v="27"/>
    <n v="8"/>
    <x v="7"/>
    <x v="18"/>
    <x v="3"/>
    <n v="750"/>
    <x v="3"/>
    <n v="3750"/>
  </r>
  <r>
    <n v="129"/>
    <x v="28"/>
    <n v="9"/>
    <x v="8"/>
    <x v="0"/>
    <x v="0"/>
    <n v="50000"/>
    <x v="0"/>
    <n v="50000"/>
  </r>
  <r>
    <n v="130"/>
    <x v="29"/>
    <n v="10"/>
    <x v="9"/>
    <x v="5"/>
    <x v="0"/>
    <n v="30000"/>
    <x v="1"/>
    <n v="60000"/>
  </r>
  <r>
    <n v="131"/>
    <x v="30"/>
    <n v="1"/>
    <x v="0"/>
    <x v="10"/>
    <x v="1"/>
    <n v="7000"/>
    <x v="0"/>
    <n v="7000"/>
  </r>
  <r>
    <n v="132"/>
    <x v="31"/>
    <n v="2"/>
    <x v="1"/>
    <x v="15"/>
    <x v="2"/>
    <n v="1200"/>
    <x v="2"/>
    <n v="3600"/>
  </r>
  <r>
    <n v="133"/>
    <x v="32"/>
    <n v="3"/>
    <x v="2"/>
    <x v="0"/>
    <x v="0"/>
    <n v="55000"/>
    <x v="0"/>
    <n v="55000"/>
  </r>
  <r>
    <n v="134"/>
    <x v="33"/>
    <n v="4"/>
    <x v="3"/>
    <x v="5"/>
    <x v="0"/>
    <n v="35000"/>
    <x v="1"/>
    <n v="70000"/>
  </r>
  <r>
    <n v="135"/>
    <x v="34"/>
    <n v="5"/>
    <x v="4"/>
    <x v="10"/>
    <x v="1"/>
    <n v="7500"/>
    <x v="0"/>
    <n v="7500"/>
  </r>
  <r>
    <n v="136"/>
    <x v="35"/>
    <n v="6"/>
    <x v="5"/>
    <x v="14"/>
    <x v="2"/>
    <n v="5000"/>
    <x v="1"/>
    <n v="10000"/>
  </r>
  <r>
    <n v="137"/>
    <x v="36"/>
    <n v="7"/>
    <x v="6"/>
    <x v="1"/>
    <x v="0"/>
    <n v="500"/>
    <x v="6"/>
    <n v="3000"/>
  </r>
  <r>
    <n v="138"/>
    <x v="37"/>
    <n v="8"/>
    <x v="7"/>
    <x v="6"/>
    <x v="0"/>
    <n v="20000"/>
    <x v="0"/>
    <n v="20000"/>
  </r>
  <r>
    <n v="139"/>
    <x v="38"/>
    <n v="9"/>
    <x v="8"/>
    <x v="11"/>
    <x v="1"/>
    <n v="9000"/>
    <x v="1"/>
    <n v="18000"/>
  </r>
  <r>
    <n v="140"/>
    <x v="39"/>
    <n v="10"/>
    <x v="9"/>
    <x v="16"/>
    <x v="2"/>
    <n v="400"/>
    <x v="4"/>
    <n v="16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552450"/>
    <m/>
    <n v="40"/>
    <m/>
    <n v="90"/>
    <m/>
    <x v="0"/>
  </r>
  <r>
    <s v="Revenue generated"/>
    <m/>
    <s v="Orders captured"/>
    <m/>
    <s v="Units sold"/>
    <m/>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552450"/>
    <n v="40"/>
    <n v="90"/>
    <n v="20"/>
  </r>
  <r>
    <s v="Revenue generated"/>
    <s v="Orders captured"/>
    <s v="Units sold"/>
    <s v="Unique custom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C8C2B5-CDB5-42CE-B4AA-2753E3F73E92}" name="PivotTable2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D53" firstHeaderRow="0" firstDataRow="1" firstDataCol="0"/>
  <pivotFields count="4">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Total Customers" fld="3" baseField="0" baseItem="1"/>
    <dataField name="Sum of Total Sales" fld="0" baseField="0" baseItem="0"/>
    <dataField name="Sum of Total Orders" fld="1" baseField="0" baseItem="1"/>
    <dataField name="Sum of Total Quantity" fld="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01248D-37C4-4C06-AB75-255BF17E2A64}" name="PivotTable1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2:G53" firstHeaderRow="1" firstDataRow="1" firstDataCol="0"/>
  <pivotFields count="11">
    <pivotField dataField="1"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pivotField showAll="0"/>
    <pivotField showAll="0"/>
    <pivotField showAll="0"/>
    <pivotField showAll="0"/>
    <pivotField showAll="0"/>
    <pivotField showAll="0" defaultSubtotal="0"/>
    <pivotField showAll="0" defaultSubtotal="0">
      <items count="3">
        <item x="0"/>
        <item x="1"/>
        <item x="2"/>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396EFB-A72E-4FA9-8C17-56EBBA4CEA9E}"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2" firstHeaderRow="0" firstDataRow="0" firstDataCol="0" rowPageCount="1" colPageCount="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Page" multipleItemSelectionAllowed="1" showAll="0">
      <items count="21">
        <item x="2"/>
        <item x="10"/>
        <item x="6"/>
        <item x="13"/>
        <item x="18"/>
        <item x="16"/>
        <item x="3"/>
        <item x="17"/>
        <item x="8"/>
        <item x="19"/>
        <item x="14"/>
        <item x="7"/>
        <item x="11"/>
        <item x="9"/>
        <item x="1"/>
        <item x="0"/>
        <item x="15"/>
        <item x="4"/>
        <item x="5"/>
        <item x="12"/>
        <item t="default"/>
      </items>
    </pivotField>
    <pivotField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showAll="0"/>
    <pivotField showAll="0" defaultSubtotal="0"/>
    <pivotField showAll="0" defaultSubtotal="0">
      <items count="3">
        <item x="0"/>
        <item x="1"/>
        <item x="2"/>
      </items>
    </pivotField>
  </pivotFields>
  <pageFields count="1">
    <pageField fld="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F428E4-23B6-4C04-B0D6-678455791DA6}"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2" firstHeaderRow="0" firstDataRow="0" firstDataCol="0" rowPageCount="1" colPageCount="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axis="axisPage" multipleItemSelectionAllowed="1"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showAll="0"/>
    <pivotField showAll="0" defaultSubtotal="0"/>
    <pivotField showAll="0" defaultSubtotal="0">
      <items count="3">
        <item x="0"/>
        <item x="1"/>
        <item x="2"/>
      </items>
    </pivotField>
  </pivotFields>
  <pageFields count="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51F11D-8186-423C-8502-F1DA9ACC57A0}"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7:M43"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Row" showAll="0" measureFilter="1" sortType="descending">
      <items count="21">
        <item x="2"/>
        <item x="10"/>
        <item x="6"/>
        <item x="13"/>
        <item x="18"/>
        <item x="16"/>
        <item x="3"/>
        <item x="17"/>
        <item x="8"/>
        <item x="19"/>
        <item x="14"/>
        <item x="7"/>
        <item x="11"/>
        <item x="9"/>
        <item x="1"/>
        <item x="0"/>
        <item x="15"/>
        <item x="4"/>
        <item x="5"/>
        <item x="12"/>
        <item t="default"/>
      </items>
      <autoSortScope>
        <pivotArea dataOnly="0" outline="0" fieldPosition="0">
          <references count="1">
            <reference field="4294967294" count="1" selected="0">
              <x v="0"/>
            </reference>
          </references>
        </pivotArea>
      </autoSortScope>
    </pivotField>
    <pivotField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dataField="1" showAll="0"/>
    <pivotField showAll="0" defaultSubtotal="0"/>
    <pivotField showAll="0" defaultSubtotal="0">
      <items count="3">
        <item x="0"/>
        <item x="1"/>
        <item x="2"/>
      </items>
    </pivotField>
  </pivotFields>
  <rowFields count="1">
    <field x="3"/>
  </rowFields>
  <rowItems count="6">
    <i>
      <x v="6"/>
    </i>
    <i>
      <x v="8"/>
    </i>
    <i>
      <x/>
    </i>
    <i>
      <x v="13"/>
    </i>
    <i>
      <x v="15"/>
    </i>
    <i t="grand">
      <x/>
    </i>
  </rowItems>
  <colItems count="1">
    <i/>
  </colItems>
  <dataFields count="1">
    <dataField name="Sum of sales" fld="8" baseField="0" baseItem="0" numFmtId="169"/>
  </dataFields>
  <formats count="8">
    <format dxfId="690">
      <pivotArea outline="0" collapsedLevelsAreSubtotals="1" fieldPosition="0"/>
    </format>
    <format dxfId="691">
      <pivotArea dataOnly="0" labelOnly="1" outline="0" axis="axisValues" fieldPosition="0"/>
    </format>
    <format dxfId="692">
      <pivotArea type="all" dataOnly="0" outline="0" fieldPosition="0"/>
    </format>
    <format dxfId="693">
      <pivotArea outline="0" collapsedLevelsAreSubtotals="1" fieldPosition="0"/>
    </format>
    <format dxfId="694">
      <pivotArea field="3" type="button" dataOnly="0" labelOnly="1" outline="0" axis="axisRow" fieldPosition="0"/>
    </format>
    <format dxfId="695">
      <pivotArea dataOnly="0" labelOnly="1" fieldPosition="0">
        <references count="1">
          <reference field="3" count="0"/>
        </references>
      </pivotArea>
    </format>
    <format dxfId="696">
      <pivotArea dataOnly="0" labelOnly="1" grandRow="1" outline="0" fieldPosition="0"/>
    </format>
    <format dxfId="697">
      <pivotArea dataOnly="0" labelOnly="1" outline="0" axis="axisValues" fieldPosition="0"/>
    </format>
  </formats>
  <chartFormats count="3">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EB453A-B568-4099-8285-92267D3825E5}"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2"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showAll="0">
      <items count="21">
        <item x="15"/>
        <item x="12"/>
        <item x="18"/>
        <item x="19"/>
        <item x="14"/>
        <item x="4"/>
        <item x="2"/>
        <item x="0"/>
        <item x="3"/>
        <item x="1"/>
        <item x="17"/>
        <item x="10"/>
        <item x="13"/>
        <item x="7"/>
        <item x="5"/>
        <item x="9"/>
        <item x="11"/>
        <item x="6"/>
        <item x="16"/>
        <item x="8"/>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dataField="1" showAll="0">
      <items count="8">
        <item x="0"/>
        <item x="1"/>
        <item x="2"/>
        <item x="4"/>
        <item x="3"/>
        <item x="6"/>
        <item x="5"/>
        <item t="default"/>
      </items>
    </pivotField>
    <pivotField showAll="0"/>
    <pivotField showAll="0" defaultSubtotal="0"/>
    <pivotField showAll="0" defaultSubtotal="0">
      <items count="3">
        <item x="0"/>
        <item x="1"/>
        <item x="2"/>
      </items>
    </pivotField>
  </pivotFields>
  <rowFields count="1">
    <field x="5"/>
  </rowFields>
  <rowItems count="5">
    <i>
      <x v="1"/>
    </i>
    <i>
      <x/>
    </i>
    <i>
      <x v="3"/>
    </i>
    <i>
      <x v="2"/>
    </i>
    <i t="grand">
      <x/>
    </i>
  </rowItems>
  <colItems count="1">
    <i/>
  </colItems>
  <dataFields count="1">
    <dataField name="Sum of quantity" fld="7" baseField="0" baseItem="0" numFmtId="168"/>
  </dataFields>
  <formats count="8">
    <format dxfId="698">
      <pivotArea outline="0" collapsedLevelsAreSubtotals="1" fieldPosition="0"/>
    </format>
    <format dxfId="699">
      <pivotArea dataOnly="0" labelOnly="1" outline="0" axis="axisValues" fieldPosition="0"/>
    </format>
    <format dxfId="700">
      <pivotArea type="all" dataOnly="0" outline="0" fieldPosition="0"/>
    </format>
    <format dxfId="701">
      <pivotArea outline="0" collapsedLevelsAreSubtotals="1" fieldPosition="0"/>
    </format>
    <format dxfId="702">
      <pivotArea field="5" type="button" dataOnly="0" labelOnly="1" outline="0" axis="axisRow" fieldPosition="0"/>
    </format>
    <format dxfId="703">
      <pivotArea dataOnly="0" labelOnly="1" fieldPosition="0">
        <references count="1">
          <reference field="5" count="0"/>
        </references>
      </pivotArea>
    </format>
    <format dxfId="704">
      <pivotArea dataOnly="0" labelOnly="1" grandRow="1" outline="0" fieldPosition="0"/>
    </format>
    <format dxfId="70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E7FD51-F920-4AF9-995A-AD003EEF22DE}"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3:M34"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axis="axisRow" showAll="0" sortType="descending">
      <items count="21">
        <item x="15"/>
        <item x="12"/>
        <item x="18"/>
        <item x="19"/>
        <item x="14"/>
        <item x="4"/>
        <item x="2"/>
        <item x="0"/>
        <item x="3"/>
        <item x="1"/>
        <item x="17"/>
        <item x="10"/>
        <item x="13"/>
        <item x="7"/>
        <item x="5"/>
        <item x="9"/>
        <item x="11"/>
        <item x="6"/>
        <item x="16"/>
        <item x="8"/>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defaultSubtotal="0"/>
    <pivotField showAll="0" defaultSubtotal="0">
      <items count="3">
        <item x="0"/>
        <item x="1"/>
        <item x="2"/>
      </items>
    </pivotField>
  </pivotFields>
  <rowFields count="1">
    <field x="4"/>
  </rowFields>
  <rowItems count="21">
    <i>
      <x v="14"/>
    </i>
    <i>
      <x v="7"/>
    </i>
    <i>
      <x v="17"/>
    </i>
    <i>
      <x v="16"/>
    </i>
    <i>
      <x v="4"/>
    </i>
    <i>
      <x v="11"/>
    </i>
    <i>
      <x v="5"/>
    </i>
    <i>
      <x v="15"/>
    </i>
    <i>
      <x v="8"/>
    </i>
    <i>
      <x v="13"/>
    </i>
    <i>
      <x v="12"/>
    </i>
    <i>
      <x v="1"/>
    </i>
    <i>
      <x/>
    </i>
    <i>
      <x v="2"/>
    </i>
    <i>
      <x v="3"/>
    </i>
    <i>
      <x v="9"/>
    </i>
    <i>
      <x v="19"/>
    </i>
    <i>
      <x v="18"/>
    </i>
    <i>
      <x v="6"/>
    </i>
    <i>
      <x v="10"/>
    </i>
    <i t="grand">
      <x/>
    </i>
  </rowItems>
  <colItems count="1">
    <i/>
  </colItems>
  <dataFields count="1">
    <dataField name="Sum of sales" fld="8" baseField="0" baseItem="0" numFmtId="167"/>
  </dataFields>
  <formats count="9">
    <format dxfId="706">
      <pivotArea dataOnly="0" outline="0" axis="axisValues" fieldPosition="0"/>
    </format>
    <format dxfId="707">
      <pivotArea outline="0" collapsedLevelsAreSubtotals="1" fieldPosition="0"/>
    </format>
    <format dxfId="708">
      <pivotArea dataOnly="0" labelOnly="1" outline="0" axis="axisValues" fieldPosition="0"/>
    </format>
    <format dxfId="709">
      <pivotArea type="all" dataOnly="0" outline="0" fieldPosition="0"/>
    </format>
    <format dxfId="710">
      <pivotArea outline="0" collapsedLevelsAreSubtotals="1" fieldPosition="0"/>
    </format>
    <format dxfId="711">
      <pivotArea field="4" type="button" dataOnly="0" labelOnly="1" outline="0" axis="axisRow" fieldPosition="0"/>
    </format>
    <format dxfId="712">
      <pivotArea dataOnly="0" labelOnly="1" fieldPosition="0">
        <references count="1">
          <reference field="4" count="0"/>
        </references>
      </pivotArea>
    </format>
    <format dxfId="713">
      <pivotArea dataOnly="0" labelOnly="1" grandRow="1" outline="0" fieldPosition="0"/>
    </format>
    <format dxfId="714">
      <pivotArea dataOnly="0" labelOnly="1" outline="0" axis="axisValues"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8E6F65-912D-48F2-8C94-DCF3891E73A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5:B29"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4">
    <i>
      <x v="1"/>
    </i>
    <i r="1">
      <x v="6"/>
    </i>
    <i r="1">
      <x v="7"/>
    </i>
    <i t="grand">
      <x/>
    </i>
  </rowItems>
  <colItems count="1">
    <i/>
  </colItems>
  <dataFields count="1">
    <dataField name="Sum of sales" fld="8" baseField="0" baseItem="0" numFmtId="165"/>
  </dataFields>
  <formats count="9">
    <format dxfId="715">
      <pivotArea outline="0" collapsedLevelsAreSubtotals="1" fieldPosition="0"/>
    </format>
    <format dxfId="716">
      <pivotArea dataOnly="0" labelOnly="1" outline="0" axis="axisValues" fieldPosition="0"/>
    </format>
    <format dxfId="717">
      <pivotArea type="all" dataOnly="0" outline="0" fieldPosition="0"/>
    </format>
    <format dxfId="718">
      <pivotArea outline="0" collapsedLevelsAreSubtotals="1" fieldPosition="0"/>
    </format>
    <format dxfId="719">
      <pivotArea field="10" type="button" dataOnly="0" labelOnly="1" outline="0" axis="axisRow" fieldPosition="0"/>
    </format>
    <format dxfId="720">
      <pivotArea dataOnly="0" labelOnly="1" fieldPosition="0">
        <references count="1">
          <reference field="10" count="1">
            <x v="1"/>
          </reference>
        </references>
      </pivotArea>
    </format>
    <format dxfId="721">
      <pivotArea dataOnly="0" labelOnly="1" grandRow="1" outline="0" fieldPosition="0"/>
    </format>
    <format dxfId="722">
      <pivotArea dataOnly="0" labelOnly="1" fieldPosition="0">
        <references count="2">
          <reference field="9" count="2">
            <x v="6"/>
            <x v="7"/>
          </reference>
          <reference field="10" count="1" selected="0">
            <x v="1"/>
          </reference>
        </references>
      </pivotArea>
    </format>
    <format dxfId="72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8438B8-10F6-4FD3-A76B-288EC95D0181}"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8"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showAll="0">
      <items count="21">
        <item x="15"/>
        <item x="12"/>
        <item x="18"/>
        <item x="19"/>
        <item x="14"/>
        <item x="4"/>
        <item x="2"/>
        <item x="0"/>
        <item x="3"/>
        <item x="1"/>
        <item x="17"/>
        <item x="10"/>
        <item x="13"/>
        <item x="7"/>
        <item x="5"/>
        <item x="9"/>
        <item x="11"/>
        <item x="6"/>
        <item x="16"/>
        <item x="8"/>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5"/>
  </rowFields>
  <rowItems count="5">
    <i>
      <x v="1"/>
    </i>
    <i>
      <x v="2"/>
    </i>
    <i>
      <x/>
    </i>
    <i>
      <x v="3"/>
    </i>
    <i t="grand">
      <x/>
    </i>
  </rowItems>
  <colItems count="1">
    <i/>
  </colItems>
  <dataFields count="1">
    <dataField name="Sum of sales" fld="8" baseField="0" baseItem="0" numFmtId="164"/>
  </dataFields>
  <formats count="8">
    <format dxfId="724">
      <pivotArea outline="0" collapsedLevelsAreSubtotals="1" fieldPosition="0"/>
    </format>
    <format dxfId="725">
      <pivotArea dataOnly="0" labelOnly="1" outline="0" axis="axisValues" fieldPosition="0"/>
    </format>
    <format dxfId="726">
      <pivotArea type="all" dataOnly="0" outline="0" fieldPosition="0"/>
    </format>
    <format dxfId="727">
      <pivotArea outline="0" collapsedLevelsAreSubtotals="1" fieldPosition="0"/>
    </format>
    <format dxfId="728">
      <pivotArea field="5" type="button" dataOnly="0" labelOnly="1" outline="0" axis="axisRow" fieldPosition="0"/>
    </format>
    <format dxfId="729">
      <pivotArea dataOnly="0" labelOnly="1" fieldPosition="0">
        <references count="1">
          <reference field="5" count="0"/>
        </references>
      </pivotArea>
    </format>
    <format dxfId="730">
      <pivotArea dataOnly="0" labelOnly="1" grandRow="1" outline="0" fieldPosition="0"/>
    </format>
    <format dxfId="73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9F21D6-2372-411B-B667-920E8FAE1732}"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Y18:Z24" firstHeaderRow="1" firstDataRow="1" firstDataCol="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axis="axisRow" showAll="0" measureFilter="1" sortType="descending">
      <items count="21">
        <item x="15"/>
        <item x="12"/>
        <item x="18"/>
        <item x="19"/>
        <item x="14"/>
        <item x="4"/>
        <item x="2"/>
        <item x="0"/>
        <item x="3"/>
        <item x="1"/>
        <item x="17"/>
        <item x="10"/>
        <item x="13"/>
        <item x="7"/>
        <item x="5"/>
        <item x="9"/>
        <item x="11"/>
        <item x="6"/>
        <item x="16"/>
        <item x="8"/>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dataField="1" showAll="0"/>
    <pivotField showAll="0" defaultSubtotal="0"/>
    <pivotField showAll="0" defaultSubtotal="0">
      <items count="3">
        <item x="0"/>
        <item x="1"/>
        <item x="2"/>
      </items>
    </pivotField>
  </pivotFields>
  <rowFields count="1">
    <field x="4"/>
  </rowFields>
  <rowItems count="6">
    <i>
      <x v="14"/>
    </i>
    <i>
      <x v="7"/>
    </i>
    <i>
      <x v="17"/>
    </i>
    <i>
      <x v="16"/>
    </i>
    <i>
      <x v="4"/>
    </i>
    <i t="grand">
      <x/>
    </i>
  </rowItems>
  <colItems count="1">
    <i/>
  </colItems>
  <dataFields count="1">
    <dataField name="Sum of sales" fld="8" baseField="0" baseItem="0" numFmtId="166"/>
  </dataFields>
  <formats count="8">
    <format dxfId="732">
      <pivotArea outline="0" collapsedLevelsAreSubtotals="1" fieldPosition="0"/>
    </format>
    <format dxfId="733">
      <pivotArea dataOnly="0" labelOnly="1" outline="0" axis="axisValues" fieldPosition="0"/>
    </format>
    <format dxfId="734">
      <pivotArea type="all" dataOnly="0" outline="0" fieldPosition="0"/>
    </format>
    <format dxfId="735">
      <pivotArea outline="0" collapsedLevelsAreSubtotals="1" fieldPosition="0"/>
    </format>
    <format dxfId="736">
      <pivotArea field="4" type="button" dataOnly="0" labelOnly="1" outline="0" axis="axisRow" fieldPosition="0"/>
    </format>
    <format dxfId="737">
      <pivotArea dataOnly="0" labelOnly="1" fieldPosition="0">
        <references count="1">
          <reference field="4" count="5">
            <x v="4"/>
            <x v="7"/>
            <x v="14"/>
            <x v="16"/>
            <x v="17"/>
          </reference>
        </references>
      </pivotArea>
    </format>
    <format dxfId="738">
      <pivotArea dataOnly="0" labelOnly="1" grandRow="1" outline="0" fieldPosition="0"/>
    </format>
    <format dxfId="739">
      <pivotArea dataOnly="0" labelOnly="1" outline="0" axis="axisValues" fieldPosition="0"/>
    </format>
  </formats>
  <chartFormats count="5">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F36125-3CAC-432A-B758-A2943FBBA394}" name="PivotTable16"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M16" firstHeaderRow="0" firstDataRow="1" firstDataCol="0"/>
  <pivotFields count="7">
    <pivotField dataField="1" showAll="0"/>
    <pivotField showAll="0"/>
    <pivotField dataField="1" showAll="0"/>
    <pivotField showAll="0"/>
    <pivotField dataField="1" showAll="0"/>
    <pivotField showAll="0"/>
    <pivotField dataField="1" showAll="0">
      <items count="3">
        <item x="0"/>
        <item x="1"/>
        <item t="default"/>
      </items>
    </pivotField>
  </pivotFields>
  <rowItems count="1">
    <i/>
  </rowItems>
  <colFields count="1">
    <field x="-2"/>
  </colFields>
  <colItems count="4">
    <i>
      <x/>
    </i>
    <i i="1">
      <x v="1"/>
    </i>
    <i i="2">
      <x v="2"/>
    </i>
    <i i="3">
      <x v="3"/>
    </i>
  </colItems>
  <dataFields count="4">
    <dataField name="Sum of Total Sales" fld="0" baseField="0" baseItem="0"/>
    <dataField name="Sum of Total Customers" fld="6" baseField="0" baseItem="1"/>
    <dataField name="Sum of Total Quantity" fld="4" baseField="0" baseItem="1"/>
    <dataField name="Sum of Total Orders" fld="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7B0DC5-3670-4F34-8221-52D2331D212D}"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F12" firstHeaderRow="0" firstDataRow="0" firstDataCol="0" rowPageCount="1" colPageCount="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axis="axisPage" multipleItemSelectionAllowed="1" showAll="0">
      <items count="21">
        <item x="2"/>
        <item x="10"/>
        <item x="6"/>
        <item x="13"/>
        <item x="18"/>
        <item x="16"/>
        <item x="3"/>
        <item x="17"/>
        <item x="8"/>
        <item x="19"/>
        <item x="14"/>
        <item x="7"/>
        <item x="11"/>
        <item x="9"/>
        <item x="1"/>
        <item x="0"/>
        <item x="15"/>
        <item x="4"/>
        <item x="5"/>
        <item x="12"/>
        <item t="default"/>
      </items>
    </pivotField>
    <pivotField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showAll="0"/>
    <pivotField showAll="0" defaultSubtotal="0"/>
    <pivotField showAll="0" defaultSubtotal="0">
      <items count="3">
        <item x="0"/>
        <item x="1"/>
        <item x="2"/>
      </items>
    </pivotField>
  </pivotFields>
  <pageFields count="1">
    <pageField fld="3"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18128B-E41A-4BF1-A0EA-90CB4EDBDDC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2" firstHeaderRow="0" firstDataRow="0" firstDataCol="0" rowPageCount="1" colPageCount="1"/>
  <pivotFields count="11">
    <pivotField showAll="0"/>
    <pivotField numFmtId="14"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howAll="0"/>
    <pivotField showAll="0">
      <items count="21">
        <item x="2"/>
        <item x="10"/>
        <item x="6"/>
        <item x="13"/>
        <item x="18"/>
        <item x="16"/>
        <item x="3"/>
        <item x="17"/>
        <item x="8"/>
        <item x="19"/>
        <item x="14"/>
        <item x="7"/>
        <item x="11"/>
        <item x="9"/>
        <item x="1"/>
        <item x="0"/>
        <item x="15"/>
        <item x="4"/>
        <item x="5"/>
        <item x="12"/>
        <item t="default"/>
      </items>
    </pivotField>
    <pivotField axis="axisPage" multipleItemSelectionAllowed="1" showAll="0">
      <items count="21">
        <item x="15"/>
        <item x="12"/>
        <item x="18"/>
        <item x="19"/>
        <item x="14"/>
        <item x="4"/>
        <item x="2"/>
        <item x="0"/>
        <item x="3"/>
        <item x="1"/>
        <item x="17"/>
        <item x="10"/>
        <item x="13"/>
        <item x="7"/>
        <item x="5"/>
        <item x="9"/>
        <item x="11"/>
        <item x="6"/>
        <item x="16"/>
        <item x="8"/>
        <item t="default"/>
      </items>
    </pivotField>
    <pivotField showAll="0">
      <items count="5">
        <item x="2"/>
        <item x="0"/>
        <item x="1"/>
        <item x="3"/>
        <item t="default"/>
      </items>
    </pivotField>
    <pivotField showAll="0"/>
    <pivotField showAll="0"/>
    <pivotField showAll="0"/>
    <pivotField showAll="0" defaultSubtotal="0"/>
    <pivotField showAll="0" defaultSubtotal="0">
      <items count="3">
        <item x="0"/>
        <item x="1"/>
        <item x="2"/>
      </items>
    </pivotField>
  </pivotFields>
  <pageFields count="1">
    <pageField fld="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B319D97-6820-4C43-8FDA-01A10F3F8118}" sourceName="category">
  <pivotTables>
    <pivotTable tabId="2" name="PivotTable8"/>
    <pivotTable tabId="2" name="PivotTable3"/>
    <pivotTable tabId="2" name="PivotTable4"/>
    <pivotTable tabId="2" name="PivotTable5"/>
    <pivotTable tabId="2" name="PivotTable6"/>
    <pivotTable tabId="2" name="PivotTable7"/>
    <pivotTable tabId="3" name="PivotTable3"/>
    <pivotTable tabId="2" name="PivotTable1"/>
    <pivotTable tabId="3" name="PivotTable10"/>
    <pivotTable tabId="2" name="PivotTable11"/>
  </pivotTables>
  <data>
    <tabular pivotCacheId="205476760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D8816C0-0C02-46F2-8E54-027791F72955}" sourceName="product_name">
  <pivotTables>
    <pivotTable tabId="2" name="PivotTable8"/>
    <pivotTable tabId="2" name="PivotTable3"/>
    <pivotTable tabId="2" name="PivotTable4"/>
    <pivotTable tabId="2" name="PivotTable5"/>
    <pivotTable tabId="2" name="PivotTable6"/>
    <pivotTable tabId="2" name="PivotTable7"/>
    <pivotTable tabId="3" name="PivotTable3"/>
    <pivotTable tabId="2" name="PivotTable1"/>
    <pivotTable tabId="3" name="PivotTable10"/>
    <pivotTable tabId="2" name="PivotTable11"/>
  </pivotTables>
  <data>
    <tabular pivotCacheId="2054767601">
      <items count="20">
        <i x="15" s="1"/>
        <i x="12" s="1"/>
        <i x="18" s="1"/>
        <i x="19" s="1"/>
        <i x="14" s="1"/>
        <i x="4" s="1"/>
        <i x="2" s="1"/>
        <i x="0" s="1"/>
        <i x="3" s="1"/>
        <i x="1" s="1"/>
        <i x="17" s="1"/>
        <i x="10" s="1"/>
        <i x="13" s="1"/>
        <i x="7" s="1"/>
        <i x="5" s="1"/>
        <i x="9" s="1"/>
        <i x="11" s="1"/>
        <i x="6" s="1"/>
        <i x="16"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_name" xr10:uid="{435113CF-0B8B-4F5D-A043-81C203430B2A}" sourceName="customers_name">
  <pivotTables>
    <pivotTable tabId="2" name="PivotTable8"/>
    <pivotTable tabId="2" name="PivotTable3"/>
    <pivotTable tabId="2" name="PivotTable4"/>
    <pivotTable tabId="2" name="PivotTable5"/>
    <pivotTable tabId="2" name="PivotTable6"/>
    <pivotTable tabId="2" name="PivotTable7"/>
    <pivotTable tabId="3" name="PivotTable3"/>
    <pivotTable tabId="2" name="PivotTable1"/>
    <pivotTable tabId="3" name="PivotTable10"/>
    <pivotTable tabId="2" name="PivotTable11"/>
  </pivotTables>
  <data>
    <tabular pivotCacheId="2054767601">
      <items count="20">
        <i x="2" s="1"/>
        <i x="10" s="1"/>
        <i x="6" s="1"/>
        <i x="13" s="1"/>
        <i x="18" s="1"/>
        <i x="16" s="1"/>
        <i x="3" s="1"/>
        <i x="17" s="1"/>
        <i x="8" s="1"/>
        <i x="19" s="1"/>
        <i x="14" s="1"/>
        <i x="7" s="1"/>
        <i x="11" s="1"/>
        <i x="9" s="1"/>
        <i x="1" s="1"/>
        <i x="0" s="1"/>
        <i x="15" s="1"/>
        <i x="4" s="1"/>
        <i x="5"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B5F296F-16EB-494A-94EB-DA73F54EEA80}" cache="Slicer_category" caption="category" rowHeight="241300"/>
  <slicer name="product" xr10:uid="{D747A341-5858-411C-8BEA-9A8FD79798A3}" cache="Slicer_product_name" caption="products" startItem="3" rowHeight="241300"/>
  <slicer name="customers_name" xr10:uid="{375A851A-F2A9-4C44-8AEB-220250261C0D}" cache="Slicer_customers_name" caption="custome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618BD9-DF62-4F92-BC28-3C4BC786EE27}" name="Salesdata" displayName="Salesdata" ref="A1:I41" totalsRowShown="0">
  <autoFilter ref="A1:I41" xr:uid="{39618BD9-DF62-4F92-BC28-3C4BC786EE27}"/>
  <tableColumns count="9">
    <tableColumn id="1" xr3:uid="{08760E48-FEC6-44CB-A0C1-27ED8F6131A4}" name="order_id"/>
    <tableColumn id="2" xr3:uid="{5AE2F71E-EBF1-4C04-A9D7-A7B204E406CD}" name="order_date" dataDxfId="1149"/>
    <tableColumn id="3" xr3:uid="{9CCD2F94-7BE9-4EEF-8C83-B31D9EC93FBF}" name="customer_id"/>
    <tableColumn id="4" xr3:uid="{75C7981C-3E22-4F4C-9774-31C5624E073E}" name="customers_name"/>
    <tableColumn id="5" xr3:uid="{1DAD14B7-9F63-41B8-870D-CA02C43614F2}" name="product_name"/>
    <tableColumn id="6" xr3:uid="{E7AECF54-B3F1-4ADD-AF26-DE78D22B0FE9}" name="category"/>
    <tableColumn id="7" xr3:uid="{F3ECE2F4-5E17-49CD-B4F3-B5BE19C173FD}" name="price"/>
    <tableColumn id="8" xr3:uid="{69FDBF36-A977-4D22-B2CA-6CF2185CB51A}" name="quantity"/>
    <tableColumn id="9" xr3:uid="{27CC54FA-54BA-46F4-B3ED-9ECD9A0BC53E}" name="sal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AF867E-0BBB-4B5F-B29D-8DC60A6FAAA6}" name="Table4" displayName="Table4" ref="G24:J26" totalsRowShown="0" tableBorderDxfId="1148">
  <autoFilter ref="G24:J26" xr:uid="{F2AF867E-0BBB-4B5F-B29D-8DC60A6FAAA6}"/>
  <tableColumns count="4">
    <tableColumn id="1" xr3:uid="{40FA5021-CA44-4BFC-BD0F-41D28B11AC5B}" name="Total Sales"/>
    <tableColumn id="2" xr3:uid="{872FAC5A-0EAA-4A0B-9D87-7B56FB19ABC4}" name="Total Orders"/>
    <tableColumn id="3" xr3:uid="{0592E5EA-92B2-4539-BD80-A93DE1C037CB}" name="Total Quantity"/>
    <tableColumn id="4" xr3:uid="{F2324368-4793-4C95-993A-A2CCAD829C9A}" name="Total Custom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557" row="9">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 dockstate="right" visibility="0" width="350" row="7">
    <wetp:webextensionref xmlns:r="http://schemas.openxmlformats.org/officeDocument/2006/relationships" r:id="rId3"/>
  </wetp:taskpane>
  <wetp:taskpane dockstate="right" visibility="0" width="350" row="10">
    <wetp:webextensionref xmlns:r="http://schemas.openxmlformats.org/officeDocument/2006/relationships" r:id="rId4"/>
  </wetp:taskpane>
  <wetp:taskpane dockstate="right" visibility="0" width="350" row="11">
    <wetp:webextensionref xmlns:r="http://schemas.openxmlformats.org/officeDocument/2006/relationships" r:id="rId5"/>
  </wetp:taskpane>
</wetp:taskpanes>
</file>

<file path=xl/webextensions/webextension1.xml><?xml version="1.0" encoding="utf-8"?>
<we:webextension xmlns:we="http://schemas.microsoft.com/office/webextensions/webextension/2010/11" id="{E7672A78-7A9D-4804-BB3A-A4DBAF0F9D19}">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9655DE72-A0E7-483F-8272-1AF164594AED}">
  <we:reference id="wa200010215" version="2.0.0.0" store="en-US" storeType="OMEX"/>
  <we:alternateReferences>
    <we:reference id="WA200010215" version="2.0.0.0" store="WA200010215" storeType="OMEX"/>
  </we:alternateReferences>
  <we:properties>
    <we:property name="bps.codex_control.document_id" value="&quot;f46163e6-6230-4642-a48a-83f9e1bb753c&quot;"/>
  </we:properties>
  <we:bindings/>
  <we:snapshot xmlns:r="http://schemas.openxmlformats.org/officeDocument/2006/relationships"/>
</we:webextension>
</file>

<file path=xl/webextensions/webextension3.xml><?xml version="1.0" encoding="utf-8"?>
<we:webextension xmlns:we="http://schemas.microsoft.com/office/webextensions/webextension/2010/11" id="{8E83FDF0-91EC-4C70-8E70-41B5959A02DF}">
  <we:reference id="wa200005107" version="1.1.0.0" store="en-US" storeType="OMEX"/>
  <we:alternateReferences>
    <we:reference id="WA200005107" version="1.1.0.0" store="" storeType="OMEX"/>
  </we:alternateReferences>
  <we:properties/>
  <we:bindings/>
  <we:snapshot xmlns:r="http://schemas.openxmlformats.org/officeDocument/2006/relationships"/>
</we:webextension>
</file>

<file path=xl/webextensions/webextension4.xml><?xml version="1.0" encoding="utf-8"?>
<we:webextension xmlns:we="http://schemas.microsoft.com/office/webextensions/webextension/2010/11" id="{9998E1AD-3739-48B1-A5F7-C5A31A539BFA}">
  <we:reference id="wa200009404" version="1.0.0.8" store="en-US" storeType="OMEX"/>
  <we:alternateReferences>
    <we:reference id="wa200009404" version="1.0.0.8" store="wa200009404" storeType="OMEX"/>
  </we:alternateReferences>
  <we:properties>
    <we:property name="claude.fileId" value="&quot;42fe3d2b-f3f8-4fad-823f-1e56a2de5fdb&quot;"/>
  </we:properties>
  <we:bindings/>
  <we:snapshot xmlns:r="http://schemas.openxmlformats.org/officeDocument/2006/relationships"/>
</we:webextension>
</file>

<file path=xl/webextensions/webextension5.xml><?xml version="1.0" encoding="utf-8"?>
<we:webextension xmlns:we="http://schemas.microsoft.com/office/webextensions/webextension/2010/11" id="{92BB4BA0-2704-456E-BDAB-83F105220C77}">
  <we:reference id="wa200010725" version="1.0.0.1" store="en-US" storeType="OMEX"/>
  <we:alternateReferences>
    <we:reference id="WA200010725" version="1.0.0.1" store="WA200010725" storeType="OMEX"/>
  </we:alternateReferences>
  <we:properties>
    <we:property name="claude.fileId" value="&quot;8472b298-9e0b-4e0f-b2bb-8c19715cfac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53464-F7B2-492B-9908-58D210210894}">
  <dimension ref="A1:O41"/>
  <sheetViews>
    <sheetView topLeftCell="A10" zoomScale="115" zoomScaleNormal="115" workbookViewId="0">
      <selection activeCell="Q6" sqref="Q6"/>
    </sheetView>
  </sheetViews>
  <sheetFormatPr defaultRowHeight="15" x14ac:dyDescent="0.25"/>
  <cols>
    <col min="1" max="1" width="10.7109375" customWidth="1"/>
    <col min="2" max="2" width="13" customWidth="1"/>
    <col min="3" max="3" width="14.140625" customWidth="1"/>
    <col min="4" max="4" width="18.28515625" customWidth="1"/>
    <col min="5" max="5" width="16" customWidth="1"/>
    <col min="6" max="6" width="11.28515625" bestFit="1" customWidth="1"/>
    <col min="7" max="7" width="7.5703125" customWidth="1"/>
    <col min="8" max="8" width="10.5703125" customWidth="1"/>
    <col min="9" max="9" width="7.5703125" customWidth="1"/>
  </cols>
  <sheetData>
    <row r="1" spans="1:15" x14ac:dyDescent="0.25">
      <c r="A1" t="s">
        <v>0</v>
      </c>
      <c r="B1" t="s">
        <v>1</v>
      </c>
      <c r="C1" t="s">
        <v>2</v>
      </c>
      <c r="D1" t="s">
        <v>3</v>
      </c>
      <c r="E1" t="s">
        <v>4</v>
      </c>
      <c r="F1" t="s">
        <v>5</v>
      </c>
      <c r="G1" t="s">
        <v>6</v>
      </c>
      <c r="H1" t="s">
        <v>7</v>
      </c>
      <c r="I1" t="s">
        <v>8</v>
      </c>
    </row>
    <row r="2" spans="1:15" x14ac:dyDescent="0.25">
      <c r="A2">
        <v>101</v>
      </c>
      <c r="B2" s="1">
        <v>46174</v>
      </c>
      <c r="C2">
        <v>1</v>
      </c>
      <c r="D2" t="s">
        <v>9</v>
      </c>
      <c r="E2" t="s">
        <v>10</v>
      </c>
      <c r="F2" t="s">
        <v>11</v>
      </c>
      <c r="G2">
        <v>50000</v>
      </c>
      <c r="H2">
        <v>1</v>
      </c>
      <c r="I2">
        <v>50000</v>
      </c>
    </row>
    <row r="3" spans="1:15" x14ac:dyDescent="0.25">
      <c r="A3">
        <v>102</v>
      </c>
      <c r="B3" s="1">
        <v>46175</v>
      </c>
      <c r="C3">
        <v>2</v>
      </c>
      <c r="D3" t="s">
        <v>12</v>
      </c>
      <c r="E3" t="s">
        <v>13</v>
      </c>
      <c r="F3" t="s">
        <v>11</v>
      </c>
      <c r="G3">
        <v>500</v>
      </c>
      <c r="H3">
        <v>2</v>
      </c>
      <c r="I3">
        <v>1000</v>
      </c>
    </row>
    <row r="4" spans="1:15" x14ac:dyDescent="0.25">
      <c r="A4">
        <v>103</v>
      </c>
      <c r="B4" s="1">
        <v>46176</v>
      </c>
      <c r="C4">
        <v>3</v>
      </c>
      <c r="D4" t="s">
        <v>14</v>
      </c>
      <c r="E4" t="s">
        <v>15</v>
      </c>
      <c r="F4" t="s">
        <v>11</v>
      </c>
      <c r="G4">
        <v>1500</v>
      </c>
      <c r="H4">
        <v>1</v>
      </c>
      <c r="I4">
        <v>1500</v>
      </c>
    </row>
    <row r="5" spans="1:15" x14ac:dyDescent="0.25">
      <c r="A5">
        <v>104</v>
      </c>
      <c r="B5" s="1">
        <v>46177</v>
      </c>
      <c r="C5">
        <v>4</v>
      </c>
      <c r="D5" t="s">
        <v>16</v>
      </c>
      <c r="E5" t="s">
        <v>17</v>
      </c>
      <c r="F5" t="s">
        <v>11</v>
      </c>
      <c r="G5">
        <v>12000</v>
      </c>
      <c r="H5">
        <v>1</v>
      </c>
      <c r="I5">
        <v>12000</v>
      </c>
    </row>
    <row r="6" spans="1:15" x14ac:dyDescent="0.25">
      <c r="A6">
        <v>105</v>
      </c>
      <c r="B6" s="1">
        <v>46178</v>
      </c>
      <c r="C6">
        <v>5</v>
      </c>
      <c r="D6" t="s">
        <v>18</v>
      </c>
      <c r="E6" t="s">
        <v>19</v>
      </c>
      <c r="F6" t="s">
        <v>11</v>
      </c>
      <c r="G6">
        <v>2500</v>
      </c>
      <c r="H6">
        <v>3</v>
      </c>
      <c r="I6">
        <v>7500</v>
      </c>
      <c r="N6" s="19" t="s">
        <v>84</v>
      </c>
      <c r="O6" s="19" t="s">
        <v>85</v>
      </c>
    </row>
    <row r="7" spans="1:15" x14ac:dyDescent="0.25">
      <c r="A7">
        <v>106</v>
      </c>
      <c r="B7" s="1">
        <v>46179</v>
      </c>
      <c r="C7">
        <v>6</v>
      </c>
      <c r="D7" t="s">
        <v>20</v>
      </c>
      <c r="E7" t="s">
        <v>21</v>
      </c>
      <c r="F7" t="s">
        <v>11</v>
      </c>
      <c r="G7">
        <v>30000</v>
      </c>
      <c r="H7">
        <v>1</v>
      </c>
      <c r="I7">
        <v>30000</v>
      </c>
      <c r="N7" s="19" t="s">
        <v>9</v>
      </c>
      <c r="O7" s="19">
        <f ca="1">--(SUMPRODUCT((Salesdata[customers_name]=N7)*ISNUMBER(MATCH(Salesdata[category],salesdata!$A$14:INDEX(salesdata!$A:$A,MATCH("Grand Total",salesdata!$A:$A,0)-1),0))*ISNUMBER(MATCH(Salesdata[product_name],salesdata!$L$14:INDEX(salesdata!$L:$L,MATCH("Grand Total",salesdata!$L:$L,0)-1),0))*IF(Dashboard!$AG$10="(All)",1,--(Salesdata[customers_name]=Dashboard!$AG$10)))&gt;0)</f>
        <v>1</v>
      </c>
    </row>
    <row r="8" spans="1:15" x14ac:dyDescent="0.25">
      <c r="A8">
        <v>107</v>
      </c>
      <c r="B8" s="1">
        <v>46180</v>
      </c>
      <c r="C8">
        <v>7</v>
      </c>
      <c r="D8" t="s">
        <v>22</v>
      </c>
      <c r="E8" t="s">
        <v>23</v>
      </c>
      <c r="F8" t="s">
        <v>11</v>
      </c>
      <c r="G8">
        <v>20000</v>
      </c>
      <c r="H8">
        <v>2</v>
      </c>
      <c r="I8">
        <v>40000</v>
      </c>
      <c r="N8" s="19" t="s">
        <v>12</v>
      </c>
      <c r="O8" s="19">
        <f ca="1">--(SUMPRODUCT((Salesdata[customers_name]=N8)*ISNUMBER(MATCH(Salesdata[category],salesdata!$A$14:INDEX(salesdata!$A:$A,MATCH("Grand Total",salesdata!$A:$A,0)-1),0))*ISNUMBER(MATCH(Salesdata[product_name],salesdata!$L$14:INDEX(salesdata!$L:$L,MATCH("Grand Total",salesdata!$L:$L,0)-1),0))*IF(Dashboard!$AG$10="(All)",1,--(Salesdata[customers_name]=Dashboard!$AG$10)))&gt;0)</f>
        <v>1</v>
      </c>
    </row>
    <row r="9" spans="1:15" x14ac:dyDescent="0.25">
      <c r="A9">
        <v>108</v>
      </c>
      <c r="B9" s="1">
        <v>46181</v>
      </c>
      <c r="C9">
        <v>8</v>
      </c>
      <c r="D9" t="s">
        <v>24</v>
      </c>
      <c r="E9" t="s">
        <v>25</v>
      </c>
      <c r="F9" t="s">
        <v>11</v>
      </c>
      <c r="G9">
        <v>8000</v>
      </c>
      <c r="H9">
        <v>1</v>
      </c>
      <c r="I9">
        <v>8000</v>
      </c>
      <c r="N9" s="19" t="s">
        <v>14</v>
      </c>
      <c r="O9" s="19">
        <f ca="1">--(SUMPRODUCT((Salesdata[customers_name]=N9)*ISNUMBER(MATCH(Salesdata[category],salesdata!$A$14:INDEX(salesdata!$A:$A,MATCH("Grand Total",salesdata!$A:$A,0)-1),0))*ISNUMBER(MATCH(Salesdata[product_name],salesdata!$L$14:INDEX(salesdata!$L:$L,MATCH("Grand Total",salesdata!$L:$L,0)-1),0))*IF(Dashboard!$AG$10="(All)",1,--(Salesdata[customers_name]=Dashboard!$AG$10)))&gt;0)</f>
        <v>1</v>
      </c>
    </row>
    <row r="10" spans="1:15" x14ac:dyDescent="0.25">
      <c r="A10">
        <v>109</v>
      </c>
      <c r="B10" s="1">
        <v>46182</v>
      </c>
      <c r="C10">
        <v>9</v>
      </c>
      <c r="D10" t="s">
        <v>26</v>
      </c>
      <c r="E10" t="s">
        <v>27</v>
      </c>
      <c r="F10" t="s">
        <v>11</v>
      </c>
      <c r="G10">
        <v>1800</v>
      </c>
      <c r="H10">
        <v>2</v>
      </c>
      <c r="I10">
        <v>3600</v>
      </c>
      <c r="N10" s="19" t="s">
        <v>16</v>
      </c>
      <c r="O10" s="19">
        <f ca="1">--(SUMPRODUCT((Salesdata[customers_name]=N10)*ISNUMBER(MATCH(Salesdata[category],salesdata!$A$14:INDEX(salesdata!$A:$A,MATCH("Grand Total",salesdata!$A:$A,0)-1),0))*ISNUMBER(MATCH(Salesdata[product_name],salesdata!$L$14:INDEX(salesdata!$L:$L,MATCH("Grand Total",salesdata!$L:$L,0)-1),0))*IF(Dashboard!$AG$10="(All)",1,--(Salesdata[customers_name]=Dashboard!$AG$10)))&gt;0)</f>
        <v>1</v>
      </c>
    </row>
    <row r="11" spans="1:15" x14ac:dyDescent="0.25">
      <c r="A11">
        <v>110</v>
      </c>
      <c r="B11" s="1">
        <v>46183</v>
      </c>
      <c r="C11">
        <v>10</v>
      </c>
      <c r="D11" t="s">
        <v>28</v>
      </c>
      <c r="E11" t="s">
        <v>29</v>
      </c>
      <c r="F11" t="s">
        <v>11</v>
      </c>
      <c r="G11">
        <v>3500</v>
      </c>
      <c r="H11">
        <v>1</v>
      </c>
      <c r="I11">
        <v>3500</v>
      </c>
      <c r="N11" s="19" t="s">
        <v>18</v>
      </c>
      <c r="O11" s="19">
        <f ca="1">--(SUMPRODUCT((Salesdata[customers_name]=N11)*ISNUMBER(MATCH(Salesdata[category],salesdata!$A$14:INDEX(salesdata!$A:$A,MATCH("Grand Total",salesdata!$A:$A,0)-1),0))*ISNUMBER(MATCH(Salesdata[product_name],salesdata!$L$14:INDEX(salesdata!$L:$L,MATCH("Grand Total",salesdata!$L:$L,0)-1),0))*IF(Dashboard!$AG$10="(All)",1,--(Salesdata[customers_name]=Dashboard!$AG$10)))&gt;0)</f>
        <v>1</v>
      </c>
    </row>
    <row r="12" spans="1:15" x14ac:dyDescent="0.25">
      <c r="A12">
        <v>111</v>
      </c>
      <c r="B12" s="1">
        <v>46184</v>
      </c>
      <c r="C12">
        <v>11</v>
      </c>
      <c r="D12" t="s">
        <v>30</v>
      </c>
      <c r="E12" t="s">
        <v>31</v>
      </c>
      <c r="F12" t="s">
        <v>32</v>
      </c>
      <c r="G12">
        <v>7000</v>
      </c>
      <c r="H12">
        <v>1</v>
      </c>
      <c r="I12">
        <v>7000</v>
      </c>
      <c r="N12" s="19" t="s">
        <v>20</v>
      </c>
      <c r="O12" s="19">
        <f ca="1">--(SUMPRODUCT((Salesdata[customers_name]=N12)*ISNUMBER(MATCH(Salesdata[category],salesdata!$A$14:INDEX(salesdata!$A:$A,MATCH("Grand Total",salesdata!$A:$A,0)-1),0))*ISNUMBER(MATCH(Salesdata[product_name],salesdata!$L$14:INDEX(salesdata!$L:$L,MATCH("Grand Total",salesdata!$L:$L,0)-1),0))*IF(Dashboard!$AG$10="(All)",1,--(Salesdata[customers_name]=Dashboard!$AG$10)))&gt;0)</f>
        <v>1</v>
      </c>
    </row>
    <row r="13" spans="1:15" x14ac:dyDescent="0.25">
      <c r="A13">
        <v>112</v>
      </c>
      <c r="B13" s="1">
        <v>46185</v>
      </c>
      <c r="C13">
        <v>12</v>
      </c>
      <c r="D13" t="s">
        <v>33</v>
      </c>
      <c r="E13" t="s">
        <v>34</v>
      </c>
      <c r="F13" t="s">
        <v>32</v>
      </c>
      <c r="G13">
        <v>9000</v>
      </c>
      <c r="H13">
        <v>2</v>
      </c>
      <c r="I13">
        <v>18000</v>
      </c>
      <c r="N13" s="19" t="s">
        <v>22</v>
      </c>
      <c r="O13" s="19">
        <f ca="1">--(SUMPRODUCT((Salesdata[customers_name]=N13)*ISNUMBER(MATCH(Salesdata[category],salesdata!$A$14:INDEX(salesdata!$A:$A,MATCH("Grand Total",salesdata!$A:$A,0)-1),0))*ISNUMBER(MATCH(Salesdata[product_name],salesdata!$L$14:INDEX(salesdata!$L:$L,MATCH("Grand Total",salesdata!$L:$L,0)-1),0))*IF(Dashboard!$AG$10="(All)",1,--(Salesdata[customers_name]=Dashboard!$AG$10)))&gt;0)</f>
        <v>1</v>
      </c>
    </row>
    <row r="14" spans="1:15" x14ac:dyDescent="0.25">
      <c r="A14">
        <v>113</v>
      </c>
      <c r="B14" s="1">
        <v>46186</v>
      </c>
      <c r="C14">
        <v>13</v>
      </c>
      <c r="D14" t="s">
        <v>35</v>
      </c>
      <c r="E14" t="s">
        <v>36</v>
      </c>
      <c r="F14" t="s">
        <v>32</v>
      </c>
      <c r="G14">
        <v>6000</v>
      </c>
      <c r="H14">
        <v>1</v>
      </c>
      <c r="I14">
        <v>6000</v>
      </c>
      <c r="N14" s="19" t="s">
        <v>24</v>
      </c>
      <c r="O14" s="19">
        <f ca="1">--(SUMPRODUCT((Salesdata[customers_name]=N14)*ISNUMBER(MATCH(Salesdata[category],salesdata!$A$14:INDEX(salesdata!$A:$A,MATCH("Grand Total",salesdata!$A:$A,0)-1),0))*ISNUMBER(MATCH(Salesdata[product_name],salesdata!$L$14:INDEX(salesdata!$L:$L,MATCH("Grand Total",salesdata!$L:$L,0)-1),0))*IF(Dashboard!$AG$10="(All)",1,--(Salesdata[customers_name]=Dashboard!$AG$10)))&gt;0)</f>
        <v>1</v>
      </c>
    </row>
    <row r="15" spans="1:15" x14ac:dyDescent="0.25">
      <c r="A15">
        <v>114</v>
      </c>
      <c r="B15" s="1">
        <v>46187</v>
      </c>
      <c r="C15">
        <v>14</v>
      </c>
      <c r="D15" t="s">
        <v>37</v>
      </c>
      <c r="E15" t="s">
        <v>38</v>
      </c>
      <c r="F15" t="s">
        <v>39</v>
      </c>
      <c r="G15">
        <v>700</v>
      </c>
      <c r="H15">
        <v>5</v>
      </c>
      <c r="I15">
        <v>3500</v>
      </c>
      <c r="N15" s="19" t="s">
        <v>26</v>
      </c>
      <c r="O15" s="19">
        <f ca="1">--(SUMPRODUCT((Salesdata[customers_name]=N15)*ISNUMBER(MATCH(Salesdata[category],salesdata!$A$14:INDEX(salesdata!$A:$A,MATCH("Grand Total",salesdata!$A:$A,0)-1),0))*ISNUMBER(MATCH(Salesdata[product_name],salesdata!$L$14:INDEX(salesdata!$L:$L,MATCH("Grand Total",salesdata!$L:$L,0)-1),0))*IF(Dashboard!$AG$10="(All)",1,--(Salesdata[customers_name]=Dashboard!$AG$10)))&gt;0)</f>
        <v>1</v>
      </c>
    </row>
    <row r="16" spans="1:15" x14ac:dyDescent="0.25">
      <c r="A16">
        <v>115</v>
      </c>
      <c r="B16" s="1">
        <v>46188</v>
      </c>
      <c r="C16">
        <v>15</v>
      </c>
      <c r="D16" t="s">
        <v>40</v>
      </c>
      <c r="E16" t="s">
        <v>41</v>
      </c>
      <c r="F16" t="s">
        <v>39</v>
      </c>
      <c r="G16">
        <v>4500</v>
      </c>
      <c r="H16">
        <v>1</v>
      </c>
      <c r="I16">
        <v>4500</v>
      </c>
      <c r="N16" s="19" t="s">
        <v>28</v>
      </c>
      <c r="O16" s="19">
        <f ca="1">--(SUMPRODUCT((Salesdata[customers_name]=N16)*ISNUMBER(MATCH(Salesdata[category],salesdata!$A$14:INDEX(salesdata!$A:$A,MATCH("Grand Total",salesdata!$A:$A,0)-1),0))*ISNUMBER(MATCH(Salesdata[product_name],salesdata!$L$14:INDEX(salesdata!$L:$L,MATCH("Grand Total",salesdata!$L:$L,0)-1),0))*IF(Dashboard!$AG$10="(All)",1,--(Salesdata[customers_name]=Dashboard!$AG$10)))&gt;0)</f>
        <v>1</v>
      </c>
    </row>
    <row r="17" spans="1:15" x14ac:dyDescent="0.25">
      <c r="A17">
        <v>116</v>
      </c>
      <c r="B17" s="1">
        <v>46189</v>
      </c>
      <c r="C17">
        <v>16</v>
      </c>
      <c r="D17" t="s">
        <v>42</v>
      </c>
      <c r="E17" t="s">
        <v>43</v>
      </c>
      <c r="F17" t="s">
        <v>39</v>
      </c>
      <c r="G17">
        <v>1200</v>
      </c>
      <c r="H17">
        <v>2</v>
      </c>
      <c r="I17">
        <v>2400</v>
      </c>
      <c r="N17" s="19" t="s">
        <v>30</v>
      </c>
      <c r="O17" s="19">
        <f ca="1">--(SUMPRODUCT((Salesdata[customers_name]=N17)*ISNUMBER(MATCH(Salesdata[category],salesdata!$A$14:INDEX(salesdata!$A:$A,MATCH("Grand Total",salesdata!$A:$A,0)-1),0))*ISNUMBER(MATCH(Salesdata[product_name],salesdata!$L$14:INDEX(salesdata!$L:$L,MATCH("Grand Total",salesdata!$L:$L,0)-1),0))*IF(Dashboard!$AG$10="(All)",1,--(Salesdata[customers_name]=Dashboard!$AG$10)))&gt;0)</f>
        <v>1</v>
      </c>
    </row>
    <row r="18" spans="1:15" x14ac:dyDescent="0.25">
      <c r="A18">
        <v>117</v>
      </c>
      <c r="B18" s="1">
        <v>46190</v>
      </c>
      <c r="C18">
        <v>17</v>
      </c>
      <c r="D18" t="s">
        <v>44</v>
      </c>
      <c r="E18" t="s">
        <v>45</v>
      </c>
      <c r="F18" t="s">
        <v>39</v>
      </c>
      <c r="G18">
        <v>400</v>
      </c>
      <c r="H18">
        <v>4</v>
      </c>
      <c r="I18">
        <v>1600</v>
      </c>
      <c r="N18" s="19" t="s">
        <v>33</v>
      </c>
      <c r="O18" s="19">
        <f ca="1">--(SUMPRODUCT((Salesdata[customers_name]=N18)*ISNUMBER(MATCH(Salesdata[category],salesdata!$A$14:INDEX(salesdata!$A:$A,MATCH("Grand Total",salesdata!$A:$A,0)-1),0))*ISNUMBER(MATCH(Salesdata[product_name],salesdata!$L$14:INDEX(salesdata!$L:$L,MATCH("Grand Total",salesdata!$L:$L,0)-1),0))*IF(Dashboard!$AG$10="(All)",1,--(Salesdata[customers_name]=Dashboard!$AG$10)))&gt;0)</f>
        <v>1</v>
      </c>
    </row>
    <row r="19" spans="1:15" x14ac:dyDescent="0.25">
      <c r="A19">
        <v>118</v>
      </c>
      <c r="B19" s="1">
        <v>46191</v>
      </c>
      <c r="C19">
        <v>18</v>
      </c>
      <c r="D19" t="s">
        <v>46</v>
      </c>
      <c r="E19" t="s">
        <v>47</v>
      </c>
      <c r="F19" t="s">
        <v>48</v>
      </c>
      <c r="G19">
        <v>100</v>
      </c>
      <c r="H19">
        <v>10</v>
      </c>
      <c r="I19">
        <v>1000</v>
      </c>
      <c r="N19" s="19" t="s">
        <v>35</v>
      </c>
      <c r="O19" s="19">
        <f ca="1">--(SUMPRODUCT((Salesdata[customers_name]=N19)*ISNUMBER(MATCH(Salesdata[category],salesdata!$A$14:INDEX(salesdata!$A:$A,MATCH("Grand Total",salesdata!$A:$A,0)-1),0))*ISNUMBER(MATCH(Salesdata[product_name],salesdata!$L$14:INDEX(salesdata!$L:$L,MATCH("Grand Total",salesdata!$L:$L,0)-1),0))*IF(Dashboard!$AG$10="(All)",1,--(Salesdata[customers_name]=Dashboard!$AG$10)))&gt;0)</f>
        <v>1</v>
      </c>
    </row>
    <row r="20" spans="1:15" x14ac:dyDescent="0.25">
      <c r="A20">
        <v>119</v>
      </c>
      <c r="B20" s="1">
        <v>46192</v>
      </c>
      <c r="C20">
        <v>19</v>
      </c>
      <c r="D20" t="s">
        <v>49</v>
      </c>
      <c r="E20" t="s">
        <v>50</v>
      </c>
      <c r="F20" t="s">
        <v>48</v>
      </c>
      <c r="G20">
        <v>600</v>
      </c>
      <c r="H20">
        <v>2</v>
      </c>
      <c r="I20">
        <v>1200</v>
      </c>
      <c r="N20" s="19" t="s">
        <v>37</v>
      </c>
      <c r="O20" s="19">
        <f ca="1">--(SUMPRODUCT((Salesdata[customers_name]=N20)*ISNUMBER(MATCH(Salesdata[category],salesdata!$A$14:INDEX(salesdata!$A:$A,MATCH("Grand Total",salesdata!$A:$A,0)-1),0))*ISNUMBER(MATCH(Salesdata[product_name],salesdata!$L$14:INDEX(salesdata!$L:$L,MATCH("Grand Total",salesdata!$L:$L,0)-1),0))*IF(Dashboard!$AG$10="(All)",1,--(Salesdata[customers_name]=Dashboard!$AG$10)))&gt;0)</f>
        <v>1</v>
      </c>
    </row>
    <row r="21" spans="1:15" x14ac:dyDescent="0.25">
      <c r="A21">
        <v>120</v>
      </c>
      <c r="B21" s="1">
        <v>46193</v>
      </c>
      <c r="C21">
        <v>20</v>
      </c>
      <c r="D21" t="s">
        <v>51</v>
      </c>
      <c r="E21" t="s">
        <v>52</v>
      </c>
      <c r="F21" t="s">
        <v>32</v>
      </c>
      <c r="G21">
        <v>1500</v>
      </c>
      <c r="H21">
        <v>1</v>
      </c>
      <c r="I21">
        <v>1500</v>
      </c>
      <c r="N21" s="19" t="s">
        <v>40</v>
      </c>
      <c r="O21" s="19">
        <f ca="1">--(SUMPRODUCT((Salesdata[customers_name]=N21)*ISNUMBER(MATCH(Salesdata[category],salesdata!$A$14:INDEX(salesdata!$A:$A,MATCH("Grand Total",salesdata!$A:$A,0)-1),0))*ISNUMBER(MATCH(Salesdata[product_name],salesdata!$L$14:INDEX(salesdata!$L:$L,MATCH("Grand Total",salesdata!$L:$L,0)-1),0))*IF(Dashboard!$AG$10="(All)",1,--(Salesdata[customers_name]=Dashboard!$AG$10)))&gt;0)</f>
        <v>1</v>
      </c>
    </row>
    <row r="22" spans="1:15" x14ac:dyDescent="0.25">
      <c r="A22">
        <v>121</v>
      </c>
      <c r="B22" s="1">
        <v>46194</v>
      </c>
      <c r="C22">
        <v>21</v>
      </c>
      <c r="D22" t="s">
        <v>9</v>
      </c>
      <c r="E22" t="s">
        <v>19</v>
      </c>
      <c r="F22" t="s">
        <v>11</v>
      </c>
      <c r="G22">
        <v>2500</v>
      </c>
      <c r="H22">
        <v>2</v>
      </c>
      <c r="I22">
        <v>5000</v>
      </c>
      <c r="N22" s="19" t="s">
        <v>42</v>
      </c>
      <c r="O22" s="19">
        <f ca="1">--(SUMPRODUCT((Salesdata[customers_name]=N22)*ISNUMBER(MATCH(Salesdata[category],salesdata!$A$14:INDEX(salesdata!$A:$A,MATCH("Grand Total",salesdata!$A:$A,0)-1),0))*ISNUMBER(MATCH(Salesdata[product_name],salesdata!$L$14:INDEX(salesdata!$L:$L,MATCH("Grand Total",salesdata!$L:$L,0)-1),0))*IF(Dashboard!$AG$10="(All)",1,--(Salesdata[customers_name]=Dashboard!$AG$10)))&gt;0)</f>
        <v>1</v>
      </c>
    </row>
    <row r="23" spans="1:15" x14ac:dyDescent="0.25">
      <c r="A23">
        <v>122</v>
      </c>
      <c r="B23" s="1">
        <v>46195</v>
      </c>
      <c r="C23">
        <v>22</v>
      </c>
      <c r="D23" t="s">
        <v>12</v>
      </c>
      <c r="E23" t="s">
        <v>29</v>
      </c>
      <c r="F23" t="s">
        <v>11</v>
      </c>
      <c r="G23">
        <v>3500</v>
      </c>
      <c r="H23">
        <v>1</v>
      </c>
      <c r="I23">
        <v>3500</v>
      </c>
      <c r="N23" s="19" t="s">
        <v>44</v>
      </c>
      <c r="O23" s="19">
        <f ca="1">--(SUMPRODUCT((Salesdata[customers_name]=N23)*ISNUMBER(MATCH(Salesdata[category],salesdata!$A$14:INDEX(salesdata!$A:$A,MATCH("Grand Total",salesdata!$A:$A,0)-1),0))*ISNUMBER(MATCH(Salesdata[product_name],salesdata!$L$14:INDEX(salesdata!$L:$L,MATCH("Grand Total",salesdata!$L:$L,0)-1),0))*IF(Dashboard!$AG$10="(All)",1,--(Salesdata[customers_name]=Dashboard!$AG$10)))&gt;0)</f>
        <v>1</v>
      </c>
    </row>
    <row r="24" spans="1:15" x14ac:dyDescent="0.25">
      <c r="A24">
        <v>123</v>
      </c>
      <c r="B24" s="1">
        <v>46196</v>
      </c>
      <c r="C24">
        <v>23</v>
      </c>
      <c r="D24" t="s">
        <v>14</v>
      </c>
      <c r="E24" t="s">
        <v>41</v>
      </c>
      <c r="F24" t="s">
        <v>39</v>
      </c>
      <c r="G24">
        <v>4500</v>
      </c>
      <c r="H24">
        <v>3</v>
      </c>
      <c r="I24">
        <v>13500</v>
      </c>
      <c r="N24" s="19" t="s">
        <v>46</v>
      </c>
      <c r="O24" s="19">
        <f ca="1">--(SUMPRODUCT((Salesdata[customers_name]=N24)*ISNUMBER(MATCH(Salesdata[category],salesdata!$A$14:INDEX(salesdata!$A:$A,MATCH("Grand Total",salesdata!$A:$A,0)-1),0))*ISNUMBER(MATCH(Salesdata[product_name],salesdata!$L$14:INDEX(salesdata!$L:$L,MATCH("Grand Total",salesdata!$L:$L,0)-1),0))*IF(Dashboard!$AG$10="(All)",1,--(Salesdata[customers_name]=Dashboard!$AG$10)))&gt;0)</f>
        <v>1</v>
      </c>
    </row>
    <row r="25" spans="1:15" x14ac:dyDescent="0.25">
      <c r="A25">
        <v>124</v>
      </c>
      <c r="B25" s="1">
        <v>46197</v>
      </c>
      <c r="C25">
        <v>24</v>
      </c>
      <c r="D25" t="s">
        <v>16</v>
      </c>
      <c r="E25" t="s">
        <v>52</v>
      </c>
      <c r="F25" t="s">
        <v>32</v>
      </c>
      <c r="G25">
        <v>1500</v>
      </c>
      <c r="H25">
        <v>2</v>
      </c>
      <c r="I25">
        <v>3000</v>
      </c>
      <c r="N25" s="19" t="s">
        <v>49</v>
      </c>
      <c r="O25" s="19">
        <f ca="1">--(SUMPRODUCT((Salesdata[customers_name]=N25)*ISNUMBER(MATCH(Salesdata[category],salesdata!$A$14:INDEX(salesdata!$A:$A,MATCH("Grand Total",salesdata!$A:$A,0)-1),0))*ISNUMBER(MATCH(Salesdata[product_name],salesdata!$L$14:INDEX(salesdata!$L:$L,MATCH("Grand Total",salesdata!$L:$L,0)-1),0))*IF(Dashboard!$AG$10="(All)",1,--(Salesdata[customers_name]=Dashboard!$AG$10)))&gt;0)</f>
        <v>1</v>
      </c>
    </row>
    <row r="26" spans="1:15" x14ac:dyDescent="0.25">
      <c r="A26">
        <v>125</v>
      </c>
      <c r="B26" s="1">
        <v>46198</v>
      </c>
      <c r="C26">
        <v>25</v>
      </c>
      <c r="D26" t="s">
        <v>18</v>
      </c>
      <c r="E26" t="s">
        <v>19</v>
      </c>
      <c r="F26" t="s">
        <v>11</v>
      </c>
      <c r="G26">
        <v>3000</v>
      </c>
      <c r="H26">
        <v>1</v>
      </c>
      <c r="I26">
        <v>3000</v>
      </c>
      <c r="N26" s="19" t="s">
        <v>51</v>
      </c>
      <c r="O26" s="19">
        <f ca="1">--(SUMPRODUCT((Salesdata[customers_name]=N26)*ISNUMBER(MATCH(Salesdata[category],salesdata!$A$14:INDEX(salesdata!$A:$A,MATCH("Grand Total",salesdata!$A:$A,0)-1),0))*ISNUMBER(MATCH(Salesdata[product_name],salesdata!$L$14:INDEX(salesdata!$L:$L,MATCH("Grand Total",salesdata!$L:$L,0)-1),0))*IF(Dashboard!$AG$10="(All)",1,--(Salesdata[customers_name]=Dashboard!$AG$10)))&gt;0)</f>
        <v>1</v>
      </c>
    </row>
    <row r="27" spans="1:15" x14ac:dyDescent="0.25">
      <c r="A27">
        <v>126</v>
      </c>
      <c r="B27" s="1">
        <v>46199</v>
      </c>
      <c r="C27">
        <v>26</v>
      </c>
      <c r="D27" t="s">
        <v>20</v>
      </c>
      <c r="E27" t="s">
        <v>29</v>
      </c>
      <c r="F27" t="s">
        <v>11</v>
      </c>
      <c r="G27">
        <v>4000</v>
      </c>
      <c r="H27">
        <v>2</v>
      </c>
      <c r="I27">
        <v>8000</v>
      </c>
    </row>
    <row r="28" spans="1:15" x14ac:dyDescent="0.25">
      <c r="A28">
        <v>127</v>
      </c>
      <c r="B28" s="1">
        <v>46200</v>
      </c>
      <c r="C28">
        <v>27</v>
      </c>
      <c r="D28" t="s">
        <v>22</v>
      </c>
      <c r="E28" t="s">
        <v>38</v>
      </c>
      <c r="F28" t="s">
        <v>39</v>
      </c>
      <c r="G28">
        <v>800</v>
      </c>
      <c r="H28">
        <v>4</v>
      </c>
      <c r="I28">
        <v>3200</v>
      </c>
    </row>
    <row r="29" spans="1:15" x14ac:dyDescent="0.25">
      <c r="A29">
        <v>128</v>
      </c>
      <c r="B29" s="1">
        <v>46201</v>
      </c>
      <c r="C29">
        <v>28</v>
      </c>
      <c r="D29" t="s">
        <v>24</v>
      </c>
      <c r="E29" t="s">
        <v>50</v>
      </c>
      <c r="F29" t="s">
        <v>48</v>
      </c>
      <c r="G29">
        <v>750</v>
      </c>
      <c r="H29">
        <v>5</v>
      </c>
      <c r="I29">
        <v>3750</v>
      </c>
    </row>
    <row r="30" spans="1:15" x14ac:dyDescent="0.25">
      <c r="A30">
        <v>129</v>
      </c>
      <c r="B30" s="1">
        <v>46202</v>
      </c>
      <c r="C30">
        <v>29</v>
      </c>
      <c r="D30" t="s">
        <v>26</v>
      </c>
      <c r="E30" t="s">
        <v>10</v>
      </c>
      <c r="F30" t="s">
        <v>11</v>
      </c>
      <c r="G30">
        <v>50000</v>
      </c>
      <c r="H30">
        <v>1</v>
      </c>
      <c r="I30">
        <v>50000</v>
      </c>
    </row>
    <row r="31" spans="1:15" x14ac:dyDescent="0.25">
      <c r="A31">
        <v>130</v>
      </c>
      <c r="B31" s="1">
        <v>46203</v>
      </c>
      <c r="C31">
        <v>30</v>
      </c>
      <c r="D31" t="s">
        <v>28</v>
      </c>
      <c r="E31" t="s">
        <v>21</v>
      </c>
      <c r="F31" t="s">
        <v>11</v>
      </c>
      <c r="G31">
        <v>30000</v>
      </c>
      <c r="H31">
        <v>2</v>
      </c>
      <c r="I31">
        <v>60000</v>
      </c>
    </row>
    <row r="32" spans="1:15" x14ac:dyDescent="0.25">
      <c r="A32">
        <v>131</v>
      </c>
      <c r="B32" s="1">
        <v>46204</v>
      </c>
      <c r="C32">
        <v>31</v>
      </c>
      <c r="D32" t="s">
        <v>9</v>
      </c>
      <c r="E32" t="s">
        <v>31</v>
      </c>
      <c r="F32" t="s">
        <v>32</v>
      </c>
      <c r="G32">
        <v>7000</v>
      </c>
      <c r="H32">
        <v>1</v>
      </c>
      <c r="I32">
        <v>7000</v>
      </c>
    </row>
    <row r="33" spans="1:9" x14ac:dyDescent="0.25">
      <c r="A33">
        <v>132</v>
      </c>
      <c r="B33" s="1">
        <v>46205</v>
      </c>
      <c r="C33">
        <v>32</v>
      </c>
      <c r="D33" t="s">
        <v>12</v>
      </c>
      <c r="E33" t="s">
        <v>43</v>
      </c>
      <c r="F33" t="s">
        <v>39</v>
      </c>
      <c r="G33">
        <v>1200</v>
      </c>
      <c r="H33">
        <v>3</v>
      </c>
      <c r="I33">
        <v>3600</v>
      </c>
    </row>
    <row r="34" spans="1:9" x14ac:dyDescent="0.25">
      <c r="A34">
        <v>133</v>
      </c>
      <c r="B34" s="1">
        <v>46206</v>
      </c>
      <c r="C34">
        <v>33</v>
      </c>
      <c r="D34" t="s">
        <v>14</v>
      </c>
      <c r="E34" t="s">
        <v>10</v>
      </c>
      <c r="F34" t="s">
        <v>11</v>
      </c>
      <c r="G34">
        <v>55000</v>
      </c>
      <c r="H34">
        <v>1</v>
      </c>
      <c r="I34">
        <v>55000</v>
      </c>
    </row>
    <row r="35" spans="1:9" x14ac:dyDescent="0.25">
      <c r="A35">
        <v>134</v>
      </c>
      <c r="B35" s="1">
        <v>46207</v>
      </c>
      <c r="C35">
        <v>34</v>
      </c>
      <c r="D35" t="s">
        <v>16</v>
      </c>
      <c r="E35" t="s">
        <v>21</v>
      </c>
      <c r="F35" t="s">
        <v>11</v>
      </c>
      <c r="G35">
        <v>35000</v>
      </c>
      <c r="H35">
        <v>2</v>
      </c>
      <c r="I35">
        <v>70000</v>
      </c>
    </row>
    <row r="36" spans="1:9" x14ac:dyDescent="0.25">
      <c r="A36">
        <v>135</v>
      </c>
      <c r="B36" s="1">
        <v>46208</v>
      </c>
      <c r="C36">
        <v>35</v>
      </c>
      <c r="D36" t="s">
        <v>18</v>
      </c>
      <c r="E36" t="s">
        <v>31</v>
      </c>
      <c r="F36" t="s">
        <v>32</v>
      </c>
      <c r="G36">
        <v>7500</v>
      </c>
      <c r="H36">
        <v>1</v>
      </c>
      <c r="I36">
        <v>7500</v>
      </c>
    </row>
    <row r="37" spans="1:9" x14ac:dyDescent="0.25">
      <c r="A37">
        <v>136</v>
      </c>
      <c r="B37" s="1">
        <v>46209</v>
      </c>
      <c r="C37">
        <v>36</v>
      </c>
      <c r="D37" t="s">
        <v>20</v>
      </c>
      <c r="E37" t="s">
        <v>41</v>
      </c>
      <c r="F37" t="s">
        <v>39</v>
      </c>
      <c r="G37">
        <v>5000</v>
      </c>
      <c r="H37">
        <v>2</v>
      </c>
      <c r="I37">
        <v>10000</v>
      </c>
    </row>
    <row r="38" spans="1:9" x14ac:dyDescent="0.25">
      <c r="A38">
        <v>137</v>
      </c>
      <c r="B38" s="1">
        <v>46210</v>
      </c>
      <c r="C38">
        <v>37</v>
      </c>
      <c r="D38" t="s">
        <v>22</v>
      </c>
      <c r="E38" t="s">
        <v>13</v>
      </c>
      <c r="F38" t="s">
        <v>11</v>
      </c>
      <c r="G38">
        <v>500</v>
      </c>
      <c r="H38">
        <v>6</v>
      </c>
      <c r="I38">
        <v>3000</v>
      </c>
    </row>
    <row r="39" spans="1:9" x14ac:dyDescent="0.25">
      <c r="A39">
        <v>138</v>
      </c>
      <c r="B39" s="1">
        <v>46211</v>
      </c>
      <c r="C39">
        <v>38</v>
      </c>
      <c r="D39" t="s">
        <v>24</v>
      </c>
      <c r="E39" t="s">
        <v>23</v>
      </c>
      <c r="F39" t="s">
        <v>11</v>
      </c>
      <c r="G39">
        <v>20000</v>
      </c>
      <c r="H39">
        <v>1</v>
      </c>
      <c r="I39">
        <v>20000</v>
      </c>
    </row>
    <row r="40" spans="1:9" x14ac:dyDescent="0.25">
      <c r="A40">
        <v>139</v>
      </c>
      <c r="B40" s="1">
        <v>46212</v>
      </c>
      <c r="C40">
        <v>39</v>
      </c>
      <c r="D40" t="s">
        <v>26</v>
      </c>
      <c r="E40" t="s">
        <v>34</v>
      </c>
      <c r="F40" t="s">
        <v>32</v>
      </c>
      <c r="G40">
        <v>9000</v>
      </c>
      <c r="H40">
        <v>2</v>
      </c>
      <c r="I40">
        <v>18000</v>
      </c>
    </row>
    <row r="41" spans="1:9" x14ac:dyDescent="0.25">
      <c r="A41">
        <v>140</v>
      </c>
      <c r="B41" s="1">
        <v>46213</v>
      </c>
      <c r="C41">
        <v>40</v>
      </c>
      <c r="D41" t="s">
        <v>28</v>
      </c>
      <c r="E41" t="s">
        <v>45</v>
      </c>
      <c r="F41" t="s">
        <v>39</v>
      </c>
      <c r="G41">
        <v>400</v>
      </c>
      <c r="H41">
        <v>4</v>
      </c>
      <c r="I41">
        <v>1600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6AEDA-2C71-48C9-9617-EAA78A638073}">
  <dimension ref="A1:AT69"/>
  <sheetViews>
    <sheetView showGridLines="0" topLeftCell="F25" zoomScale="70" zoomScaleNormal="70" workbookViewId="0">
      <selection activeCell="L37" sqref="L37"/>
    </sheetView>
  </sheetViews>
  <sheetFormatPr defaultRowHeight="14.25" x14ac:dyDescent="0.2"/>
  <cols>
    <col min="1" max="1" width="17.85546875" style="3" bestFit="1" customWidth="1"/>
    <col min="2" max="2" width="22.140625" style="3" bestFit="1" customWidth="1"/>
    <col min="3" max="3" width="24.42578125" style="3" bestFit="1" customWidth="1"/>
    <col min="4" max="4" width="26.7109375" style="3" bestFit="1" customWidth="1"/>
    <col min="5" max="5" width="11.7109375" style="3" customWidth="1"/>
    <col min="6" max="6" width="11.28515625" style="3" bestFit="1" customWidth="1"/>
    <col min="7" max="7" width="19" style="3" bestFit="1" customWidth="1"/>
    <col min="8" max="11" width="9.140625" style="3"/>
    <col min="12" max="12" width="17.85546875" style="3" bestFit="1" customWidth="1"/>
    <col min="13" max="13" width="17.42578125" style="3" bestFit="1" customWidth="1"/>
    <col min="14" max="18" width="9.140625" style="3"/>
    <col min="19" max="19" width="17.85546875" style="3" bestFit="1" customWidth="1"/>
    <col min="20" max="20" width="8.140625" style="3" bestFit="1" customWidth="1"/>
    <col min="21" max="21" width="17.85546875" style="3" bestFit="1" customWidth="1"/>
    <col min="22" max="22" width="8.140625" style="3" bestFit="1" customWidth="1"/>
    <col min="23" max="23" width="9.140625" style="3"/>
    <col min="24" max="25" width="17.85546875" style="3" bestFit="1" customWidth="1"/>
    <col min="26" max="26" width="17.42578125" style="3" bestFit="1" customWidth="1"/>
    <col min="27" max="27" width="9.140625" style="3"/>
    <col min="28" max="28" width="15.28515625" style="3" bestFit="1" customWidth="1"/>
    <col min="29" max="29" width="8.140625" style="3" bestFit="1" customWidth="1"/>
    <col min="30" max="37" width="9.140625" style="3"/>
    <col min="38" max="38" width="28.85546875" style="3" bestFit="1" customWidth="1"/>
    <col min="39" max="39" width="23.140625" style="3" bestFit="1" customWidth="1"/>
    <col min="40" max="40" width="24.42578125" style="3" bestFit="1" customWidth="1"/>
    <col min="41" max="41" width="21.7109375" style="3" bestFit="1" customWidth="1"/>
    <col min="42" max="43" width="26.7109375" style="3" bestFit="1" customWidth="1"/>
    <col min="44" max="44" width="29.7109375" style="3" bestFit="1" customWidth="1"/>
    <col min="45" max="45" width="33.140625" style="3" bestFit="1" customWidth="1"/>
    <col min="46" max="46" width="31" style="3" bestFit="1" customWidth="1"/>
    <col min="47" max="16384" width="9.140625" style="3"/>
  </cols>
  <sheetData>
    <row r="1" spans="1:46" ht="26.25" x14ac:dyDescent="0.4">
      <c r="A1" s="2" t="s">
        <v>60</v>
      </c>
    </row>
    <row r="2" spans="1:46" ht="12.75" customHeight="1" x14ac:dyDescent="0.2">
      <c r="A2" s="4" t="str">
        <f ca="1">"Source: Sales_Data  |  Last updated: "&amp;TEXT(TODAY(),"dd-mmm-yyyy")</f>
        <v>Source: Sales_Data  |  Last updated: 18-Aug-2026</v>
      </c>
    </row>
    <row r="3" spans="1:46" ht="9" customHeight="1" x14ac:dyDescent="0.2">
      <c r="B3" s="5"/>
      <c r="D3" s="5"/>
    </row>
    <row r="4" spans="1:46" ht="24" customHeight="1" x14ac:dyDescent="0.25">
      <c r="A4" s="6" t="s">
        <v>61</v>
      </c>
      <c r="B4" s="14" t="s">
        <v>69</v>
      </c>
      <c r="C4" s="6" t="s">
        <v>62</v>
      </c>
      <c r="D4" s="14"/>
      <c r="E4" s="6" t="s">
        <v>63</v>
      </c>
      <c r="F4" s="7"/>
      <c r="G4" s="15" t="s">
        <v>64</v>
      </c>
      <c r="AL4"/>
      <c r="AM4"/>
    </row>
    <row r="5" spans="1:46" ht="23.25" x14ac:dyDescent="0.2">
      <c r="A5" s="8">
        <f>SUM(Salesdata[sales])</f>
        <v>552450</v>
      </c>
      <c r="B5" s="10"/>
      <c r="C5" s="8">
        <f>COUNTA(Salesdata[order_id])</f>
        <v>40</v>
      </c>
      <c r="D5" s="10"/>
      <c r="E5" s="8">
        <f>SUM(Salesdata[quantity])</f>
        <v>90</v>
      </c>
      <c r="F5" s="9"/>
      <c r="G5" s="13">
        <v>20</v>
      </c>
    </row>
    <row r="6" spans="1:46" ht="15" x14ac:dyDescent="0.25">
      <c r="A6" s="11" t="s">
        <v>65</v>
      </c>
      <c r="B6" s="12"/>
      <c r="C6" s="11" t="s">
        <v>66</v>
      </c>
      <c r="D6" s="12"/>
      <c r="E6" s="11" t="s">
        <v>67</v>
      </c>
      <c r="F6" s="12"/>
      <c r="G6" s="16" t="s">
        <v>68</v>
      </c>
      <c r="AL6"/>
      <c r="AM6"/>
      <c r="AN6"/>
      <c r="AO6"/>
      <c r="AP6"/>
      <c r="AQ6"/>
      <c r="AR6"/>
      <c r="AS6"/>
      <c r="AT6"/>
    </row>
    <row r="7" spans="1:46" ht="15" x14ac:dyDescent="0.25">
      <c r="AL7"/>
      <c r="AM7"/>
      <c r="AN7"/>
      <c r="AO7"/>
      <c r="AP7"/>
      <c r="AQ7"/>
      <c r="AR7"/>
      <c r="AS7"/>
      <c r="AT7"/>
    </row>
    <row r="8" spans="1:46" ht="15" x14ac:dyDescent="0.25">
      <c r="AL8"/>
      <c r="AM8"/>
      <c r="AN8"/>
      <c r="AO8"/>
      <c r="AP8"/>
      <c r="AQ8"/>
      <c r="AR8"/>
      <c r="AS8"/>
      <c r="AT8"/>
    </row>
    <row r="9" spans="1:46" ht="15" x14ac:dyDescent="0.25">
      <c r="AL9"/>
      <c r="AM9"/>
      <c r="AN9"/>
      <c r="AO9"/>
      <c r="AP9"/>
      <c r="AQ9"/>
      <c r="AR9"/>
      <c r="AS9"/>
      <c r="AT9"/>
    </row>
    <row r="10" spans="1:46" ht="15" x14ac:dyDescent="0.25">
      <c r="AL10"/>
      <c r="AM10"/>
      <c r="AN10"/>
    </row>
    <row r="11" spans="1:46" ht="15" x14ac:dyDescent="0.25">
      <c r="AL11"/>
      <c r="AM11"/>
      <c r="AN11"/>
    </row>
    <row r="12" spans="1:46" ht="15" x14ac:dyDescent="0.25">
      <c r="AL12"/>
      <c r="AM12"/>
      <c r="AN12"/>
    </row>
    <row r="13" spans="1:46" ht="15" x14ac:dyDescent="0.25">
      <c r="A13" s="44" t="s">
        <v>53</v>
      </c>
      <c r="B13" s="47" t="s">
        <v>55</v>
      </c>
      <c r="L13" s="44" t="s">
        <v>53</v>
      </c>
      <c r="M13" s="50" t="s">
        <v>55</v>
      </c>
      <c r="AL13"/>
      <c r="AM13"/>
      <c r="AN13"/>
    </row>
    <row r="14" spans="1:46" ht="15" x14ac:dyDescent="0.25">
      <c r="A14" s="46" t="s">
        <v>11</v>
      </c>
      <c r="B14" s="47">
        <v>434600</v>
      </c>
      <c r="L14" s="46" t="s">
        <v>21</v>
      </c>
      <c r="M14" s="50">
        <v>160000</v>
      </c>
      <c r="AL14"/>
      <c r="AM14"/>
      <c r="AN14"/>
    </row>
    <row r="15" spans="1:46" ht="15" x14ac:dyDescent="0.25">
      <c r="A15" s="46" t="s">
        <v>32</v>
      </c>
      <c r="B15" s="47">
        <v>68000</v>
      </c>
      <c r="L15" s="46" t="s">
        <v>10</v>
      </c>
      <c r="M15" s="50">
        <v>155000</v>
      </c>
      <c r="AL15"/>
      <c r="AM15"/>
      <c r="AN15"/>
    </row>
    <row r="16" spans="1:46" ht="15" x14ac:dyDescent="0.25">
      <c r="A16" s="46" t="s">
        <v>39</v>
      </c>
      <c r="B16" s="47">
        <v>43900</v>
      </c>
      <c r="C16" s="3" t="s">
        <v>70</v>
      </c>
      <c r="L16" s="46" t="s">
        <v>23</v>
      </c>
      <c r="M16" s="50">
        <v>60000</v>
      </c>
      <c r="AL16"/>
      <c r="AM16"/>
      <c r="AN16"/>
    </row>
    <row r="17" spans="1:43" ht="15" x14ac:dyDescent="0.25">
      <c r="A17" s="46" t="s">
        <v>48</v>
      </c>
      <c r="B17" s="47">
        <v>5950</v>
      </c>
      <c r="L17" s="46" t="s">
        <v>34</v>
      </c>
      <c r="M17" s="50">
        <v>36000</v>
      </c>
      <c r="N17" s="3" t="s">
        <v>72</v>
      </c>
      <c r="AL17"/>
      <c r="AM17"/>
      <c r="AN17"/>
    </row>
    <row r="18" spans="1:43" ht="15" x14ac:dyDescent="0.25">
      <c r="A18" s="46" t="s">
        <v>54</v>
      </c>
      <c r="B18" s="47">
        <v>552450</v>
      </c>
      <c r="L18" s="46" t="s">
        <v>41</v>
      </c>
      <c r="M18" s="50">
        <v>28000</v>
      </c>
      <c r="Y18" s="44" t="s">
        <v>53</v>
      </c>
      <c r="Z18" s="45" t="s">
        <v>55</v>
      </c>
      <c r="AL18"/>
      <c r="AM18"/>
      <c r="AN18"/>
    </row>
    <row r="19" spans="1:43" ht="15" x14ac:dyDescent="0.25">
      <c r="L19" s="46" t="s">
        <v>31</v>
      </c>
      <c r="M19" s="50">
        <v>21500</v>
      </c>
      <c r="Y19" s="46" t="s">
        <v>21</v>
      </c>
      <c r="Z19" s="45">
        <v>160000</v>
      </c>
      <c r="AL19"/>
      <c r="AM19"/>
      <c r="AN19"/>
      <c r="AP19"/>
      <c r="AQ19"/>
    </row>
    <row r="20" spans="1:43" ht="15" x14ac:dyDescent="0.25">
      <c r="L20" s="46" t="s">
        <v>19</v>
      </c>
      <c r="M20" s="50">
        <v>15500</v>
      </c>
      <c r="Y20" s="46" t="s">
        <v>10</v>
      </c>
      <c r="Z20" s="45">
        <v>155000</v>
      </c>
      <c r="AA20" s="3" t="s">
        <v>75</v>
      </c>
      <c r="AL20"/>
      <c r="AM20"/>
      <c r="AN20"/>
      <c r="AP20"/>
      <c r="AQ20"/>
    </row>
    <row r="21" spans="1:43" ht="15" x14ac:dyDescent="0.25">
      <c r="L21" s="46" t="s">
        <v>29</v>
      </c>
      <c r="M21" s="50">
        <v>15000</v>
      </c>
      <c r="Y21" s="46" t="s">
        <v>23</v>
      </c>
      <c r="Z21" s="45">
        <v>60000</v>
      </c>
      <c r="AL21"/>
      <c r="AM21"/>
      <c r="AN21"/>
      <c r="AO21"/>
      <c r="AP21"/>
      <c r="AQ21"/>
    </row>
    <row r="22" spans="1:43" ht="15" x14ac:dyDescent="0.25">
      <c r="L22" s="46" t="s">
        <v>17</v>
      </c>
      <c r="M22" s="50">
        <v>12000</v>
      </c>
      <c r="Y22" s="46" t="s">
        <v>34</v>
      </c>
      <c r="Z22" s="45">
        <v>36000</v>
      </c>
      <c r="AL22"/>
      <c r="AM22"/>
      <c r="AN22"/>
      <c r="AO22"/>
      <c r="AP22"/>
      <c r="AQ22"/>
    </row>
    <row r="23" spans="1:43" ht="15" x14ac:dyDescent="0.25">
      <c r="L23" s="46" t="s">
        <v>25</v>
      </c>
      <c r="M23" s="50">
        <v>8000</v>
      </c>
      <c r="Y23" s="46" t="s">
        <v>41</v>
      </c>
      <c r="Z23" s="45">
        <v>28000</v>
      </c>
      <c r="AL23"/>
      <c r="AM23"/>
      <c r="AN23"/>
      <c r="AO23"/>
      <c r="AP23"/>
      <c r="AQ23"/>
    </row>
    <row r="24" spans="1:43" ht="15" x14ac:dyDescent="0.25">
      <c r="L24" s="46" t="s">
        <v>38</v>
      </c>
      <c r="M24" s="50">
        <v>6700</v>
      </c>
      <c r="Y24" s="46" t="s">
        <v>54</v>
      </c>
      <c r="Z24" s="45">
        <v>439000</v>
      </c>
      <c r="AO24"/>
      <c r="AP24"/>
      <c r="AQ24"/>
    </row>
    <row r="25" spans="1:43" ht="15" x14ac:dyDescent="0.25">
      <c r="A25" s="44" t="s">
        <v>53</v>
      </c>
      <c r="B25" s="48" t="s">
        <v>55</v>
      </c>
      <c r="L25" s="46" t="s">
        <v>36</v>
      </c>
      <c r="M25" s="50">
        <v>6000</v>
      </c>
      <c r="Y25"/>
      <c r="Z25"/>
      <c r="AO25"/>
      <c r="AP25"/>
      <c r="AQ25"/>
    </row>
    <row r="26" spans="1:43" ht="15" x14ac:dyDescent="0.25">
      <c r="A26" s="46" t="s">
        <v>58</v>
      </c>
      <c r="B26" s="48">
        <v>552450</v>
      </c>
      <c r="L26" s="46" t="s">
        <v>43</v>
      </c>
      <c r="M26" s="50">
        <v>6000</v>
      </c>
      <c r="Y26"/>
      <c r="Z26"/>
      <c r="AO26"/>
      <c r="AP26"/>
      <c r="AQ26"/>
    </row>
    <row r="27" spans="1:43" ht="15" x14ac:dyDescent="0.25">
      <c r="A27" s="49" t="s">
        <v>56</v>
      </c>
      <c r="B27" s="48">
        <v>356750</v>
      </c>
      <c r="C27" s="3" t="s">
        <v>71</v>
      </c>
      <c r="L27" s="46" t="s">
        <v>50</v>
      </c>
      <c r="M27" s="50">
        <v>4950</v>
      </c>
      <c r="Y27"/>
      <c r="Z27"/>
      <c r="AO27"/>
      <c r="AP27"/>
      <c r="AQ27"/>
    </row>
    <row r="28" spans="1:43" ht="15" x14ac:dyDescent="0.25">
      <c r="A28" s="49" t="s">
        <v>57</v>
      </c>
      <c r="B28" s="48">
        <v>195700</v>
      </c>
      <c r="L28" s="46" t="s">
        <v>52</v>
      </c>
      <c r="M28" s="50">
        <v>4500</v>
      </c>
      <c r="Y28"/>
      <c r="Z28"/>
      <c r="AO28"/>
      <c r="AP28"/>
      <c r="AQ28"/>
    </row>
    <row r="29" spans="1:43" ht="15" x14ac:dyDescent="0.25">
      <c r="A29" s="46" t="s">
        <v>54</v>
      </c>
      <c r="B29" s="48">
        <v>552450</v>
      </c>
      <c r="L29" s="46" t="s">
        <v>13</v>
      </c>
      <c r="M29" s="50">
        <v>4000</v>
      </c>
      <c r="Y29"/>
      <c r="Z29"/>
      <c r="AO29"/>
      <c r="AP29"/>
      <c r="AQ29"/>
    </row>
    <row r="30" spans="1:43" ht="15" x14ac:dyDescent="0.25">
      <c r="L30" s="46" t="s">
        <v>27</v>
      </c>
      <c r="M30" s="50">
        <v>3600</v>
      </c>
      <c r="S30" s="43" t="s">
        <v>3</v>
      </c>
      <c r="T30" t="s">
        <v>76</v>
      </c>
      <c r="U30" t="s">
        <v>78</v>
      </c>
      <c r="V30"/>
      <c r="W30"/>
      <c r="Y30"/>
      <c r="Z30"/>
      <c r="AB30" s="43" t="s">
        <v>4</v>
      </c>
      <c r="AC30" t="s">
        <v>76</v>
      </c>
      <c r="AD30" s="3" t="s">
        <v>77</v>
      </c>
      <c r="AO30"/>
      <c r="AP30"/>
      <c r="AQ30"/>
    </row>
    <row r="31" spans="1:43" ht="15" x14ac:dyDescent="0.25">
      <c r="L31" s="46" t="s">
        <v>45</v>
      </c>
      <c r="M31" s="50">
        <v>3200</v>
      </c>
      <c r="U31"/>
      <c r="V31"/>
      <c r="W31"/>
      <c r="Y31"/>
      <c r="Z31"/>
      <c r="AO31"/>
      <c r="AP31"/>
      <c r="AQ31"/>
    </row>
    <row r="32" spans="1:43" ht="15" x14ac:dyDescent="0.25">
      <c r="L32" s="46" t="s">
        <v>15</v>
      </c>
      <c r="M32" s="50">
        <v>1500</v>
      </c>
      <c r="U32"/>
      <c r="V32"/>
      <c r="W32"/>
      <c r="Y32"/>
      <c r="Z32"/>
      <c r="AB32"/>
      <c r="AC32"/>
      <c r="AD32"/>
      <c r="AO32"/>
      <c r="AP32"/>
      <c r="AQ32"/>
    </row>
    <row r="33" spans="1:43" ht="15" x14ac:dyDescent="0.25">
      <c r="L33" s="46" t="s">
        <v>47</v>
      </c>
      <c r="M33" s="50">
        <v>1000</v>
      </c>
      <c r="U33"/>
      <c r="V33"/>
      <c r="W33"/>
      <c r="Y33"/>
      <c r="Z33"/>
      <c r="AB33"/>
      <c r="AC33"/>
      <c r="AD33"/>
      <c r="AO33"/>
      <c r="AP33"/>
      <c r="AQ33"/>
    </row>
    <row r="34" spans="1:43" ht="15" x14ac:dyDescent="0.25">
      <c r="L34" s="46" t="s">
        <v>54</v>
      </c>
      <c r="M34" s="50">
        <v>552450</v>
      </c>
      <c r="U34"/>
      <c r="V34"/>
      <c r="W34"/>
      <c r="Y34"/>
      <c r="Z34"/>
      <c r="AB34"/>
      <c r="AC34"/>
      <c r="AD34"/>
      <c r="AO34"/>
      <c r="AP34"/>
      <c r="AQ34"/>
    </row>
    <row r="35" spans="1:43" ht="15" x14ac:dyDescent="0.25">
      <c r="U35"/>
      <c r="V35"/>
      <c r="W35"/>
      <c r="Y35"/>
      <c r="Z35"/>
      <c r="AB35"/>
      <c r="AC35"/>
      <c r="AD35"/>
      <c r="AO35"/>
      <c r="AP35"/>
      <c r="AQ35"/>
    </row>
    <row r="36" spans="1:43" ht="15" x14ac:dyDescent="0.25">
      <c r="U36"/>
      <c r="V36"/>
      <c r="W36"/>
      <c r="Y36"/>
      <c r="Z36"/>
      <c r="AB36"/>
      <c r="AC36"/>
      <c r="AD36"/>
      <c r="AO36"/>
      <c r="AP36"/>
      <c r="AQ36"/>
    </row>
    <row r="37" spans="1:43" ht="15" x14ac:dyDescent="0.25">
      <c r="A37" s="44" t="s">
        <v>53</v>
      </c>
      <c r="B37" s="51" t="s">
        <v>59</v>
      </c>
      <c r="L37" s="44" t="s">
        <v>53</v>
      </c>
      <c r="M37" s="52" t="s">
        <v>55</v>
      </c>
      <c r="U37"/>
      <c r="V37"/>
      <c r="W37"/>
      <c r="Y37"/>
      <c r="Z37"/>
      <c r="AB37"/>
      <c r="AC37"/>
      <c r="AD37"/>
    </row>
    <row r="38" spans="1:43" ht="15" x14ac:dyDescent="0.25">
      <c r="A38" s="46" t="s">
        <v>11</v>
      </c>
      <c r="B38" s="51">
        <v>34</v>
      </c>
      <c r="L38" s="46" t="s">
        <v>16</v>
      </c>
      <c r="M38" s="52">
        <v>85000</v>
      </c>
      <c r="U38"/>
      <c r="V38"/>
      <c r="W38"/>
      <c r="Y38"/>
      <c r="Z38"/>
      <c r="AB38"/>
      <c r="AC38"/>
      <c r="AD38"/>
    </row>
    <row r="39" spans="1:43" ht="15" x14ac:dyDescent="0.25">
      <c r="A39" s="46" t="s">
        <v>39</v>
      </c>
      <c r="B39" s="51">
        <v>28</v>
      </c>
      <c r="D39" s="3" t="s">
        <v>73</v>
      </c>
      <c r="L39" s="46" t="s">
        <v>26</v>
      </c>
      <c r="M39" s="52">
        <v>71600</v>
      </c>
      <c r="U39"/>
      <c r="V39"/>
      <c r="W39"/>
      <c r="Y39"/>
      <c r="Z39"/>
      <c r="AB39"/>
      <c r="AC39"/>
      <c r="AD39"/>
    </row>
    <row r="40" spans="1:43" ht="15" x14ac:dyDescent="0.25">
      <c r="A40" s="46" t="s">
        <v>48</v>
      </c>
      <c r="B40" s="51">
        <v>17</v>
      </c>
      <c r="L40" s="46" t="s">
        <v>14</v>
      </c>
      <c r="M40" s="52">
        <v>70000</v>
      </c>
      <c r="N40" s="3" t="s">
        <v>74</v>
      </c>
      <c r="U40"/>
      <c r="V40"/>
      <c r="W40"/>
      <c r="AB40"/>
      <c r="AC40"/>
      <c r="AD40"/>
    </row>
    <row r="41" spans="1:43" ht="15" x14ac:dyDescent="0.25">
      <c r="A41" s="46" t="s">
        <v>32</v>
      </c>
      <c r="B41" s="51">
        <v>11</v>
      </c>
      <c r="L41" s="46" t="s">
        <v>28</v>
      </c>
      <c r="M41" s="52">
        <v>65100</v>
      </c>
      <c r="U41"/>
      <c r="V41"/>
      <c r="W41"/>
      <c r="AB41"/>
      <c r="AC41"/>
      <c r="AD41"/>
    </row>
    <row r="42" spans="1:43" ht="15" x14ac:dyDescent="0.25">
      <c r="A42" s="46" t="s">
        <v>54</v>
      </c>
      <c r="B42" s="51">
        <v>90</v>
      </c>
      <c r="L42" s="46" t="s">
        <v>9</v>
      </c>
      <c r="M42" s="52">
        <v>62000</v>
      </c>
      <c r="U42"/>
      <c r="V42"/>
      <c r="W42"/>
      <c r="AB42"/>
      <c r="AC42"/>
      <c r="AD42"/>
    </row>
    <row r="43" spans="1:43" ht="15" x14ac:dyDescent="0.25">
      <c r="L43" s="46" t="s">
        <v>54</v>
      </c>
      <c r="M43" s="52">
        <v>353700</v>
      </c>
      <c r="U43"/>
      <c r="V43"/>
      <c r="W43"/>
      <c r="AB43"/>
      <c r="AC43"/>
      <c r="AD43"/>
    </row>
    <row r="44" spans="1:43" ht="15" x14ac:dyDescent="0.25">
      <c r="L44"/>
      <c r="M44"/>
      <c r="U44"/>
      <c r="V44"/>
      <c r="W44"/>
      <c r="AB44"/>
      <c r="AC44"/>
      <c r="AD44"/>
    </row>
    <row r="45" spans="1:43" ht="15" x14ac:dyDescent="0.25">
      <c r="L45"/>
      <c r="M45"/>
      <c r="U45"/>
      <c r="V45"/>
      <c r="W45"/>
      <c r="AB45"/>
      <c r="AC45"/>
      <c r="AD45"/>
    </row>
    <row r="46" spans="1:43" ht="15" x14ac:dyDescent="0.25">
      <c r="L46"/>
      <c r="M46"/>
      <c r="U46"/>
      <c r="V46"/>
      <c r="W46"/>
      <c r="AB46"/>
      <c r="AC46"/>
      <c r="AD46"/>
    </row>
    <row r="47" spans="1:43" ht="15" x14ac:dyDescent="0.25">
      <c r="L47"/>
      <c r="M47"/>
      <c r="U47"/>
      <c r="V47"/>
      <c r="W47"/>
      <c r="AB47"/>
      <c r="AC47"/>
      <c r="AD47"/>
    </row>
    <row r="48" spans="1:43" ht="15" x14ac:dyDescent="0.25">
      <c r="L48"/>
      <c r="M48"/>
      <c r="AB48"/>
      <c r="AC48"/>
      <c r="AD48"/>
    </row>
    <row r="49" spans="1:30" ht="15" x14ac:dyDescent="0.25">
      <c r="L49"/>
      <c r="M49"/>
      <c r="AB49"/>
      <c r="AC49"/>
      <c r="AD49"/>
    </row>
    <row r="50" spans="1:30" x14ac:dyDescent="0.2">
      <c r="L50"/>
      <c r="M50"/>
    </row>
    <row r="51" spans="1:30" x14ac:dyDescent="0.2">
      <c r="L51"/>
      <c r="M51"/>
    </row>
    <row r="52" spans="1:30" ht="15" x14ac:dyDescent="0.25">
      <c r="A52" t="s">
        <v>81</v>
      </c>
      <c r="B52" t="s">
        <v>79</v>
      </c>
      <c r="C52" t="s">
        <v>82</v>
      </c>
      <c r="D52" t="s">
        <v>80</v>
      </c>
      <c r="G52" t="s">
        <v>83</v>
      </c>
      <c r="L52"/>
      <c r="M52"/>
    </row>
    <row r="53" spans="1:30" ht="15" x14ac:dyDescent="0.25">
      <c r="A53" s="55">
        <v>20</v>
      </c>
      <c r="B53" s="55">
        <v>552450</v>
      </c>
      <c r="C53" s="55">
        <v>40</v>
      </c>
      <c r="D53" s="55">
        <v>90</v>
      </c>
      <c r="G53" s="55">
        <v>40</v>
      </c>
      <c r="L53"/>
      <c r="M53"/>
    </row>
    <row r="54" spans="1:30" ht="15" x14ac:dyDescent="0.25">
      <c r="A54"/>
      <c r="B54"/>
      <c r="C54"/>
      <c r="L54"/>
      <c r="M54"/>
    </row>
    <row r="55" spans="1:30" ht="15" x14ac:dyDescent="0.25">
      <c r="A55"/>
      <c r="B55"/>
      <c r="C55"/>
      <c r="L55"/>
      <c r="M55"/>
    </row>
    <row r="56" spans="1:30" ht="15" x14ac:dyDescent="0.25">
      <c r="A56"/>
      <c r="B56"/>
      <c r="C56"/>
      <c r="L56"/>
      <c r="M56"/>
    </row>
    <row r="57" spans="1:30" ht="15" x14ac:dyDescent="0.25">
      <c r="A57"/>
      <c r="B57"/>
      <c r="C57"/>
      <c r="L57"/>
      <c r="M57"/>
    </row>
    <row r="58" spans="1:30" ht="15" x14ac:dyDescent="0.25">
      <c r="A58"/>
      <c r="B58"/>
      <c r="C58"/>
      <c r="L58"/>
      <c r="M58"/>
    </row>
    <row r="59" spans="1:30" ht="15" x14ac:dyDescent="0.25">
      <c r="A59"/>
      <c r="B59"/>
      <c r="C59"/>
    </row>
    <row r="60" spans="1:30" ht="15" x14ac:dyDescent="0.25">
      <c r="A60"/>
      <c r="B60"/>
      <c r="C60"/>
    </row>
    <row r="61" spans="1:30" ht="15" x14ac:dyDescent="0.25">
      <c r="A61"/>
      <c r="B61"/>
      <c r="C61"/>
    </row>
    <row r="62" spans="1:30" ht="15" x14ac:dyDescent="0.25">
      <c r="A62"/>
      <c r="B62"/>
      <c r="C62"/>
    </row>
    <row r="63" spans="1:30" ht="15" x14ac:dyDescent="0.25">
      <c r="A63"/>
      <c r="B63"/>
      <c r="C63"/>
    </row>
    <row r="64" spans="1:30" ht="15" x14ac:dyDescent="0.25">
      <c r="A64"/>
      <c r="B64"/>
      <c r="C64"/>
    </row>
    <row r="65" spans="1:3" ht="15" x14ac:dyDescent="0.25">
      <c r="A65"/>
      <c r="B65"/>
      <c r="C65"/>
    </row>
    <row r="66" spans="1:3" ht="15" x14ac:dyDescent="0.25">
      <c r="A66"/>
      <c r="B66"/>
      <c r="C66"/>
    </row>
    <row r="67" spans="1:3" ht="15" x14ac:dyDescent="0.25">
      <c r="A67"/>
      <c r="B67"/>
      <c r="C67"/>
    </row>
    <row r="68" spans="1:3" ht="15" x14ac:dyDescent="0.25">
      <c r="A68"/>
      <c r="B68"/>
      <c r="C68"/>
    </row>
    <row r="69" spans="1:3" ht="15" x14ac:dyDescent="0.25">
      <c r="A69"/>
      <c r="B69"/>
      <c r="C6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5A3CD-1696-4459-9308-6E95FEBF74BD}">
  <dimension ref="G7:P26"/>
  <sheetViews>
    <sheetView topLeftCell="C16" workbookViewId="0">
      <selection activeCell="G24" sqref="G24:J26"/>
    </sheetView>
  </sheetViews>
  <sheetFormatPr defaultRowHeight="15" x14ac:dyDescent="0.25"/>
  <cols>
    <col min="7" max="7" width="20.140625" bestFit="1" customWidth="1"/>
    <col min="8" max="8" width="16.5703125" customWidth="1"/>
    <col min="9" max="9" width="18.28515625" customWidth="1"/>
    <col min="10" max="10" width="21.140625" customWidth="1"/>
    <col min="11" max="11" width="17.28515625" customWidth="1"/>
    <col min="12" max="12" width="16.42578125" bestFit="1" customWidth="1"/>
    <col min="13" max="13" width="16.5703125" bestFit="1" customWidth="1"/>
    <col min="14" max="14" width="14.85546875" bestFit="1" customWidth="1"/>
    <col min="16" max="16" width="19.5703125" bestFit="1" customWidth="1"/>
  </cols>
  <sheetData>
    <row r="7" spans="10:16" ht="23.25" x14ac:dyDescent="0.25">
      <c r="J7" s="6" t="s">
        <v>61</v>
      </c>
      <c r="K7" s="14" t="s">
        <v>69</v>
      </c>
      <c r="L7" s="6" t="s">
        <v>62</v>
      </c>
      <c r="M7" s="14"/>
      <c r="N7" s="6" t="s">
        <v>63</v>
      </c>
      <c r="O7" s="7"/>
      <c r="P7" s="15" t="s">
        <v>64</v>
      </c>
    </row>
    <row r="8" spans="10:16" ht="23.25" x14ac:dyDescent="0.25">
      <c r="J8" s="8">
        <f>SUM(Salesdata[sales])</f>
        <v>552450</v>
      </c>
      <c r="K8" s="10"/>
      <c r="L8" s="8">
        <f>COUNTA(Salesdata[order_id])</f>
        <v>40</v>
      </c>
      <c r="M8" s="10"/>
      <c r="N8" s="8">
        <f>SUM(Salesdata[quantity])</f>
        <v>90</v>
      </c>
      <c r="O8" s="9"/>
      <c r="P8" s="13">
        <v>20</v>
      </c>
    </row>
    <row r="9" spans="10:16" x14ac:dyDescent="0.25">
      <c r="J9" s="11" t="s">
        <v>65</v>
      </c>
      <c r="K9" s="12"/>
      <c r="L9" s="11" t="s">
        <v>66</v>
      </c>
      <c r="M9" s="12"/>
      <c r="N9" s="11" t="s">
        <v>67</v>
      </c>
      <c r="O9" s="12"/>
      <c r="P9" s="16" t="s">
        <v>68</v>
      </c>
    </row>
    <row r="15" spans="10:16" x14ac:dyDescent="0.25">
      <c r="J15" s="43" t="s">
        <v>79</v>
      </c>
      <c r="K15" t="s">
        <v>81</v>
      </c>
      <c r="L15" t="s">
        <v>80</v>
      </c>
      <c r="M15" t="s">
        <v>82</v>
      </c>
      <c r="N15" s="19"/>
    </row>
    <row r="16" spans="10:16" x14ac:dyDescent="0.25">
      <c r="J16" s="55">
        <v>552450</v>
      </c>
      <c r="K16" s="55">
        <v>20</v>
      </c>
      <c r="L16" s="55">
        <v>90</v>
      </c>
      <c r="M16" s="55">
        <v>40</v>
      </c>
      <c r="N16" s="19"/>
    </row>
    <row r="24" spans="7:10" ht="15.75" x14ac:dyDescent="0.25">
      <c r="G24" s="56" t="s">
        <v>61</v>
      </c>
      <c r="H24" s="33" t="s">
        <v>62</v>
      </c>
      <c r="I24" s="34" t="s">
        <v>63</v>
      </c>
      <c r="J24" s="34" t="s">
        <v>64</v>
      </c>
    </row>
    <row r="25" spans="7:10" ht="27.75" x14ac:dyDescent="0.25">
      <c r="G25" s="57">
        <f>SUM(Salesdata[sales])</f>
        <v>552450</v>
      </c>
      <c r="H25" s="31">
        <f>COUNTA(Salesdata[order_id])</f>
        <v>40</v>
      </c>
      <c r="I25" s="31">
        <f>SUM(Salesdata[quantity])</f>
        <v>90</v>
      </c>
      <c r="J25" s="31">
        <v>20</v>
      </c>
    </row>
    <row r="26" spans="7:10" x14ac:dyDescent="0.25">
      <c r="G26" s="58" t="s">
        <v>65</v>
      </c>
      <c r="H26" s="58" t="s">
        <v>66</v>
      </c>
      <c r="I26" s="58" t="s">
        <v>67</v>
      </c>
      <c r="J26" s="58" t="s">
        <v>68</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7982-D0B7-4A67-A7A1-5D6F7BD6BB1F}">
  <dimension ref="A1:AI49"/>
  <sheetViews>
    <sheetView showGridLines="0" tabSelected="1" topLeftCell="A18" zoomScale="70" zoomScaleNormal="70" workbookViewId="0">
      <selection activeCell="F48" sqref="F48"/>
    </sheetView>
  </sheetViews>
  <sheetFormatPr defaultRowHeight="15" x14ac:dyDescent="0.25"/>
  <cols>
    <col min="1" max="1" width="21.7109375" bestFit="1" customWidth="1"/>
    <col min="2" max="2" width="13.140625" customWidth="1"/>
    <col min="3" max="3" width="14.140625" customWidth="1"/>
    <col min="4" max="4" width="20.85546875" customWidth="1"/>
    <col min="5" max="5" width="14.85546875" customWidth="1"/>
    <col min="6" max="6" width="15.42578125" customWidth="1"/>
    <col min="7" max="7" width="22.28515625" customWidth="1"/>
    <col min="8" max="8" width="14.7109375" customWidth="1"/>
    <col min="9" max="9" width="13.5703125" customWidth="1"/>
    <col min="10" max="10" width="26.28515625" customWidth="1"/>
    <col min="11" max="11" width="15.42578125" customWidth="1"/>
    <col min="12" max="12" width="16.5703125" customWidth="1"/>
    <col min="26" max="26" width="10" customWidth="1"/>
    <col min="27" max="27" width="12.85546875" customWidth="1"/>
    <col min="28" max="28" width="15.28515625" bestFit="1" customWidth="1"/>
    <col min="29" max="29" width="8.140625" bestFit="1" customWidth="1"/>
    <col min="32" max="32" width="17.85546875" bestFit="1" customWidth="1"/>
    <col min="33" max="33" width="8.140625" bestFit="1" customWidth="1"/>
  </cols>
  <sheetData>
    <row r="1" spans="1:35" ht="26.25" x14ac:dyDescent="0.4">
      <c r="A1" s="18" t="s">
        <v>60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row>
    <row r="2" spans="1:35" x14ac:dyDescent="0.25">
      <c r="A2" s="21" t="str">
        <f ca="1">" Source: Sales_Data  |  Last updated: "&amp;TEXT(TODAY(),"dd-mmm-yyyy")</f>
        <v xml:space="preserve"> Source: Sales_Data  |  Last updated: 18-Aug-2026</v>
      </c>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row>
    <row r="3" spans="1:35" ht="8.25" customHeight="1" thickBot="1" x14ac:dyDescent="0.3">
      <c r="A3" s="22"/>
      <c r="B3" s="22"/>
      <c r="C3" s="22"/>
      <c r="D3" s="22"/>
      <c r="E3" s="22"/>
      <c r="F3" s="22"/>
      <c r="G3" s="22"/>
      <c r="H3" s="22"/>
      <c r="I3" s="22"/>
      <c r="J3" s="22"/>
      <c r="K3" s="22"/>
      <c r="L3" s="22"/>
      <c r="M3" s="19"/>
      <c r="N3" s="19"/>
      <c r="O3" s="19"/>
      <c r="P3" s="19"/>
      <c r="Q3" s="19"/>
      <c r="R3" s="19"/>
      <c r="S3" s="19"/>
      <c r="T3" s="19"/>
      <c r="U3" s="19"/>
      <c r="V3" s="19"/>
      <c r="W3" s="19"/>
      <c r="X3" s="19"/>
      <c r="Y3" s="19"/>
      <c r="Z3" s="19"/>
      <c r="AA3" s="19"/>
      <c r="AB3" s="19"/>
      <c r="AC3" s="19"/>
      <c r="AD3" s="19"/>
      <c r="AE3" s="19"/>
      <c r="AF3" s="19"/>
      <c r="AG3" s="19"/>
      <c r="AH3" s="19"/>
      <c r="AI3" s="19"/>
    </row>
    <row r="4" spans="1:35" ht="23.25" x14ac:dyDescent="0.25">
      <c r="A4" s="32" t="s">
        <v>61</v>
      </c>
      <c r="B4" s="35"/>
      <c r="C4" s="24" t="s">
        <v>69</v>
      </c>
      <c r="D4" s="33" t="s">
        <v>62</v>
      </c>
      <c r="E4" s="35"/>
      <c r="F4" s="24"/>
      <c r="G4" s="34" t="s">
        <v>63</v>
      </c>
      <c r="H4" s="36"/>
      <c r="I4" s="37"/>
      <c r="J4" s="34" t="s">
        <v>64</v>
      </c>
      <c r="K4" s="36"/>
      <c r="L4" s="37"/>
      <c r="M4" s="19"/>
      <c r="N4" s="19"/>
      <c r="O4" s="19"/>
      <c r="P4" s="19"/>
      <c r="Q4" s="19"/>
      <c r="R4" s="19"/>
      <c r="S4" s="19"/>
      <c r="T4" s="19"/>
      <c r="U4" s="19"/>
      <c r="V4" s="19"/>
      <c r="W4" s="19"/>
      <c r="X4" s="19"/>
      <c r="Y4" s="19"/>
      <c r="Z4" s="19"/>
      <c r="AA4" s="19"/>
      <c r="AB4" s="19"/>
      <c r="AC4" s="19"/>
      <c r="AD4" s="19"/>
      <c r="AE4" s="19"/>
      <c r="AF4" s="19"/>
      <c r="AG4" s="19"/>
      <c r="AH4" s="19"/>
      <c r="AI4" s="19"/>
    </row>
    <row r="5" spans="1:35" ht="27.75" x14ac:dyDescent="0.25">
      <c r="A5" s="30">
        <f ca="1">SUMPRODUCT(Salesdata[sales]*ISNUMBER(MATCH(Salesdata[category],salesdata!$A$14:INDEX(salesdata!$A:$A,MATCH("Grand Total",salesdata!$A:$A,0)-1),0))*ISNUMBER(MATCH(Salesdata[product_name],salesdata!$L$14:INDEX(salesdata!$L:$L,MATCH("Grand Total",salesdata!$L:$L,0)-1),0))*IF($AG$10="(All)",1,--(Salesdata[customers_name]=$AG$10)))</f>
        <v>552450</v>
      </c>
      <c r="B5" s="27"/>
      <c r="C5" s="38"/>
      <c r="D5" s="31">
        <f ca="1">SUMPRODUCT(ISNUMBER(MATCH(Salesdata[category],salesdata!$A$14:INDEX(salesdata!$A:$A,MATCH("Grand Total",salesdata!$A:$A,0)-1),0))*ISNUMBER(MATCH(Salesdata[product_name],salesdata!$L$14:INDEX(salesdata!$L:$L,MATCH("Grand Total",salesdata!$L:$L,0)-1),0))*IF($AG$10="(All)",1,--(Salesdata[customers_name]=$AG$10)))</f>
        <v>40</v>
      </c>
      <c r="E5" s="28"/>
      <c r="F5" s="38"/>
      <c r="G5" s="31">
        <f ca="1">SUMPRODUCT(Salesdata[quantity]*ISNUMBER(MATCH(Salesdata[category],salesdata!$A$14:INDEX(salesdata!$A:$A,MATCH("Grand Total",salesdata!$A:$A,0)-1),0))*ISNUMBER(MATCH(Salesdata[product_name],salesdata!$L$14:INDEX(salesdata!$L:$L,MATCH("Grand Total",salesdata!$L:$L,0)-1),0))*IF($AG$10="(All)",1,--(Salesdata[customers_name]=$AG$10)))</f>
        <v>90</v>
      </c>
      <c r="H5" s="28"/>
      <c r="I5" s="29"/>
      <c r="J5" s="31">
        <f ca="1">SUM(Sheet1!$O$7:$O$26)</f>
        <v>20</v>
      </c>
      <c r="K5" s="20"/>
      <c r="L5" s="26"/>
      <c r="M5" s="20"/>
      <c r="N5" s="40"/>
      <c r="O5" s="19"/>
      <c r="P5" s="19"/>
      <c r="Q5" s="19"/>
      <c r="R5" s="19"/>
      <c r="S5" s="19"/>
      <c r="T5" s="19"/>
      <c r="U5" s="19"/>
      <c r="V5" s="19"/>
      <c r="W5" s="19"/>
      <c r="X5" s="19"/>
      <c r="Y5" s="19"/>
      <c r="Z5" s="19"/>
      <c r="AA5" s="19"/>
      <c r="AB5" s="19"/>
      <c r="AC5" s="19"/>
      <c r="AD5" s="19"/>
      <c r="AE5" s="19"/>
      <c r="AF5" s="19"/>
      <c r="AG5" s="19"/>
      <c r="AH5" s="19"/>
      <c r="AI5" s="19"/>
    </row>
    <row r="6" spans="1:35" ht="15.75" thickBot="1" x14ac:dyDescent="0.3">
      <c r="A6" s="54" t="s">
        <v>65</v>
      </c>
      <c r="B6" s="23"/>
      <c r="C6" s="25"/>
      <c r="D6" s="53" t="s">
        <v>66</v>
      </c>
      <c r="E6" s="23"/>
      <c r="F6" s="25"/>
      <c r="G6" s="53" t="s">
        <v>67</v>
      </c>
      <c r="H6" s="23"/>
      <c r="I6" s="25"/>
      <c r="J6" s="53" t="s">
        <v>68</v>
      </c>
      <c r="K6" s="23"/>
      <c r="L6" s="25"/>
      <c r="M6" s="39"/>
      <c r="N6" s="41"/>
      <c r="O6" s="19"/>
      <c r="P6" s="19"/>
      <c r="Q6" s="19"/>
      <c r="R6" s="19"/>
      <c r="S6" s="19"/>
      <c r="T6" s="19"/>
      <c r="U6" s="19"/>
      <c r="V6" s="19"/>
      <c r="W6" s="19"/>
      <c r="X6" s="19"/>
      <c r="Y6" s="19"/>
      <c r="Z6" s="19"/>
      <c r="AA6" s="19"/>
      <c r="AB6" s="19"/>
      <c r="AC6" s="19"/>
      <c r="AD6" s="19"/>
      <c r="AE6" s="19"/>
      <c r="AF6" s="19"/>
      <c r="AG6" s="19"/>
      <c r="AH6" s="19"/>
      <c r="AI6" s="19"/>
    </row>
    <row r="7" spans="1:35" ht="12" customHeight="1" x14ac:dyDescent="0.25">
      <c r="A7" s="42"/>
      <c r="B7" s="42"/>
      <c r="C7" s="42"/>
      <c r="D7" s="42"/>
      <c r="E7" s="42"/>
      <c r="F7" s="42"/>
      <c r="G7" s="42"/>
      <c r="H7" s="42"/>
      <c r="I7" s="42"/>
      <c r="J7" s="42"/>
      <c r="K7" s="42"/>
      <c r="L7" s="42"/>
      <c r="M7" s="42"/>
      <c r="N7" s="41"/>
      <c r="O7" s="19"/>
      <c r="P7" s="19"/>
      <c r="Q7" s="19"/>
      <c r="R7" s="19"/>
      <c r="S7" s="19"/>
      <c r="T7" s="19"/>
      <c r="U7" s="19"/>
      <c r="V7" s="19"/>
      <c r="W7" s="19"/>
      <c r="X7" s="19"/>
      <c r="Y7" s="19"/>
      <c r="Z7" s="19"/>
      <c r="AA7" s="19"/>
      <c r="AB7" s="19"/>
      <c r="AC7" s="19"/>
      <c r="AD7" s="19"/>
      <c r="AE7" s="19"/>
      <c r="AF7" s="19"/>
      <c r="AG7" s="19"/>
      <c r="AH7" s="19"/>
      <c r="AI7" s="19"/>
    </row>
    <row r="8" spans="1:35" ht="9.75" customHeight="1" x14ac:dyDescent="0.25">
      <c r="A8" s="42"/>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row>
    <row r="9" spans="1:35"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row>
    <row r="10" spans="1:35"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43" t="s">
        <v>4</v>
      </c>
      <c r="AC10" t="s">
        <v>76</v>
      </c>
      <c r="AD10" s="19"/>
      <c r="AE10" s="19"/>
      <c r="AF10" s="43" t="s">
        <v>3</v>
      </c>
      <c r="AG10" t="s">
        <v>76</v>
      </c>
      <c r="AH10" s="19"/>
      <c r="AI10" s="19"/>
    </row>
    <row r="11" spans="1:35"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row>
    <row r="12" spans="1:35"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row>
    <row r="13" spans="1:35"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row>
    <row r="14" spans="1:35"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row>
    <row r="15" spans="1:35"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row>
    <row r="16" spans="1:35"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row>
    <row r="17" spans="1:35"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row>
    <row r="18" spans="1:35"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row>
    <row r="19" spans="1:35"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row>
    <row r="20" spans="1:35"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row>
    <row r="21" spans="1:35"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row>
    <row r="22" spans="1:35"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row>
    <row r="23" spans="1:35"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row>
    <row r="24" spans="1:35"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row>
    <row r="25" spans="1:35"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row>
    <row r="26" spans="1:35"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row>
    <row r="27" spans="1:35"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row>
    <row r="28" spans="1:35"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row>
    <row r="29" spans="1:35"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row>
    <row r="30" spans="1:35"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row>
    <row r="31" spans="1:35"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row>
    <row r="32" spans="1:35"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row>
    <row r="33" spans="1:35"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row>
    <row r="34" spans="1:35"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row>
    <row r="35" spans="1:35"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row>
    <row r="36" spans="1:35"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row>
    <row r="37" spans="1:35"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row>
    <row r="38" spans="1:35"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row>
    <row r="39" spans="1:35"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row>
    <row r="40" spans="1:35"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row>
    <row r="41" spans="1:35"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row>
    <row r="42" spans="1:35"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row>
    <row r="43" spans="1:35"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row>
    <row r="44" spans="1:35"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row>
    <row r="45" spans="1:35"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row>
    <row r="46" spans="1:35"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row>
    <row r="47" spans="1:35"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row>
    <row r="48" spans="1:35"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row>
    <row r="49" spans="1:35"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salesdata</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Suram</dc:creator>
  <cp:lastModifiedBy>Rohit Suram</cp:lastModifiedBy>
  <dcterms:created xsi:type="dcterms:W3CDTF">2026-08-17T15:27:06Z</dcterms:created>
  <dcterms:modified xsi:type="dcterms:W3CDTF">2026-08-18T10:45:37Z</dcterms:modified>
</cp:coreProperties>
</file>